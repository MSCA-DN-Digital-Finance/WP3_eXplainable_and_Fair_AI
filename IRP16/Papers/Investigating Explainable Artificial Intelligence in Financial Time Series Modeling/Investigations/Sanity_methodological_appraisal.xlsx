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jensreil/Documents/Work/PhD/General/IRP16/(C1 - AIR) Literature Review XAI Financial Time Series Modeling/Submission(s)/AIR/Submission 1 Rebuttal 2/Final Documents Rebuttal 2/"/>
    </mc:Choice>
  </mc:AlternateContent>
  <xr:revisionPtr revIDLastSave="0" documentId="8_{869EA3D8-F2A5-E244-BEFD-39CEE8849F9A}" xr6:coauthVersionLast="47" xr6:coauthVersionMax="47" xr10:uidLastSave="{00000000-0000-0000-0000-000000000000}"/>
  <bookViews>
    <workbookView xWindow="30240" yWindow="620" windowWidth="51200" windowHeight="28180" activeTab="2" xr2:uid="{00000000-000D-0000-FFFF-FFFF00000000}"/>
  </bookViews>
  <sheets>
    <sheet name="Summary" sheetId="1" r:id="rId1"/>
    <sheet name="Scores" sheetId="2" r:id="rId2"/>
    <sheet name="Methodology" sheetId="5" r:id="rId3"/>
  </sheet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 l="1"/>
  <c r="D15" i="1"/>
  <c r="C15" i="1"/>
  <c r="B15" i="1"/>
  <c r="E14" i="1"/>
  <c r="D14" i="1"/>
  <c r="C14" i="1"/>
  <c r="B14" i="1"/>
  <c r="E13" i="1"/>
  <c r="D13" i="1"/>
  <c r="C13" i="1"/>
  <c r="B13" i="1"/>
  <c r="E12" i="1"/>
  <c r="D12" i="1"/>
  <c r="C12" i="1"/>
  <c r="B12" i="1"/>
  <c r="E11" i="1"/>
  <c r="D11" i="1"/>
  <c r="C11" i="1"/>
  <c r="B11" i="1"/>
  <c r="E10" i="1"/>
  <c r="D10" i="1"/>
  <c r="C10" i="1"/>
  <c r="B10" i="1"/>
  <c r="E9" i="1"/>
  <c r="D9" i="1"/>
  <c r="C9" i="1"/>
  <c r="B9" i="1"/>
  <c r="E8" i="1"/>
  <c r="D8" i="1"/>
  <c r="C8" i="1"/>
  <c r="B8" i="1"/>
  <c r="P79" i="2"/>
  <c r="Q79" i="2" s="1"/>
  <c r="P78" i="2"/>
  <c r="Q78" i="2" s="1"/>
  <c r="P77" i="2"/>
  <c r="Q77" i="2" s="1"/>
  <c r="P76" i="2"/>
  <c r="Q76" i="2" s="1"/>
  <c r="P75" i="2"/>
  <c r="Q75" i="2" s="1"/>
  <c r="P74" i="2"/>
  <c r="Q74" i="2" s="1"/>
  <c r="P73" i="2"/>
  <c r="Q73" i="2" s="1"/>
  <c r="P72" i="2"/>
  <c r="Q72" i="2" s="1"/>
  <c r="P71" i="2"/>
  <c r="Q71" i="2" s="1"/>
  <c r="P70" i="2"/>
  <c r="Q70" i="2" s="1"/>
  <c r="P69" i="2"/>
  <c r="Q69" i="2" s="1"/>
  <c r="P68" i="2"/>
  <c r="Q68" i="2" s="1"/>
  <c r="P67" i="2"/>
  <c r="Q67" i="2" s="1"/>
  <c r="P66" i="2"/>
  <c r="Q66" i="2" s="1"/>
  <c r="P65" i="2"/>
  <c r="Q65" i="2" s="1"/>
  <c r="P64" i="2"/>
  <c r="Q64" i="2" s="1"/>
  <c r="P63" i="2"/>
  <c r="Q63" i="2" s="1"/>
  <c r="P62" i="2"/>
  <c r="Q62" i="2" s="1"/>
  <c r="P61" i="2"/>
  <c r="Q61" i="2" s="1"/>
  <c r="P60" i="2"/>
  <c r="Q60" i="2" s="1"/>
  <c r="P59" i="2"/>
  <c r="Q59" i="2" s="1"/>
  <c r="P58" i="2"/>
  <c r="Q58" i="2" s="1"/>
  <c r="P57" i="2"/>
  <c r="Q57" i="2" s="1"/>
  <c r="P56" i="2"/>
  <c r="Q56" i="2" s="1"/>
  <c r="P55" i="2"/>
  <c r="Q55" i="2" s="1"/>
  <c r="P54" i="2"/>
  <c r="Q54" i="2" s="1"/>
  <c r="P53" i="2"/>
  <c r="Q53" i="2" s="1"/>
  <c r="P52" i="2"/>
  <c r="Q52" i="2" s="1"/>
  <c r="P51" i="2"/>
  <c r="Q51" i="2" s="1"/>
  <c r="P50" i="2"/>
  <c r="Q50" i="2" s="1"/>
  <c r="P49" i="2"/>
  <c r="Q49" i="2" s="1"/>
  <c r="P48" i="2"/>
  <c r="Q48" i="2" s="1"/>
  <c r="P47" i="2"/>
  <c r="Q47" i="2" s="1"/>
  <c r="P46" i="2"/>
  <c r="Q46" i="2" s="1"/>
  <c r="P45" i="2"/>
  <c r="Q45" i="2" s="1"/>
  <c r="P44" i="2"/>
  <c r="Q44" i="2" s="1"/>
  <c r="P43" i="2"/>
  <c r="Q43" i="2" s="1"/>
  <c r="P42" i="2"/>
  <c r="Q42" i="2" s="1"/>
  <c r="P41" i="2"/>
  <c r="Q41" i="2" s="1"/>
  <c r="P40" i="2"/>
  <c r="Q40" i="2" s="1"/>
  <c r="P39" i="2"/>
  <c r="Q39" i="2" s="1"/>
  <c r="P38" i="2"/>
  <c r="Q38" i="2" s="1"/>
  <c r="P37" i="2"/>
  <c r="Q37" i="2" s="1"/>
  <c r="P36" i="2"/>
  <c r="Q36" i="2" s="1"/>
  <c r="P35" i="2"/>
  <c r="Q35" i="2" s="1"/>
  <c r="P34" i="2"/>
  <c r="Q34" i="2" s="1"/>
  <c r="P33" i="2"/>
  <c r="Q33" i="2" s="1"/>
  <c r="P32" i="2"/>
  <c r="Q32" i="2" s="1"/>
  <c r="P31" i="2"/>
  <c r="Q31" i="2" s="1"/>
  <c r="P30" i="2"/>
  <c r="Q30" i="2" s="1"/>
  <c r="P29" i="2"/>
  <c r="Q29" i="2" s="1"/>
  <c r="P28" i="2"/>
  <c r="Q28" i="2" s="1"/>
  <c r="P27" i="2"/>
  <c r="Q27" i="2" s="1"/>
  <c r="P26" i="2"/>
  <c r="Q26" i="2" s="1"/>
  <c r="P25" i="2"/>
  <c r="Q25" i="2" s="1"/>
  <c r="P24" i="2"/>
  <c r="Q24" i="2" s="1"/>
  <c r="P23" i="2"/>
  <c r="Q23" i="2" s="1"/>
  <c r="P22" i="2"/>
  <c r="Q22" i="2" s="1"/>
  <c r="P21" i="2"/>
  <c r="Q21" i="2" s="1"/>
  <c r="P20" i="2"/>
  <c r="Q20" i="2" s="1"/>
  <c r="P19" i="2"/>
  <c r="Q19" i="2" s="1"/>
  <c r="P18" i="2"/>
  <c r="Q18" i="2" s="1"/>
  <c r="P17" i="2"/>
  <c r="Q17" i="2" s="1"/>
  <c r="P16" i="2"/>
  <c r="Q16" i="2" s="1"/>
  <c r="P15" i="2"/>
  <c r="Q15" i="2" s="1"/>
  <c r="P14" i="2"/>
  <c r="Q14" i="2" s="1"/>
  <c r="P13" i="2"/>
  <c r="Q13" i="2" s="1"/>
  <c r="P12" i="2"/>
  <c r="Q12" i="2" s="1"/>
  <c r="P11" i="2"/>
  <c r="Q11" i="2" s="1"/>
  <c r="P10" i="2"/>
  <c r="Q10" i="2" s="1"/>
  <c r="P9" i="2"/>
  <c r="Q9" i="2" s="1"/>
  <c r="P8" i="2"/>
  <c r="Q8" i="2" s="1"/>
  <c r="P7" i="2"/>
  <c r="Q7" i="2" s="1"/>
  <c r="P6" i="2"/>
  <c r="Q6" i="2" s="1"/>
  <c r="P5" i="2"/>
  <c r="Q5" i="2" s="1"/>
  <c r="P4" i="2"/>
  <c r="Q4" i="2" s="1"/>
  <c r="P3" i="2"/>
  <c r="Q3" i="2" s="1"/>
  <c r="P2" i="2"/>
  <c r="Q2" i="2" s="1"/>
</calcChain>
</file>

<file path=xl/sharedStrings.xml><?xml version="1.0" encoding="utf-8"?>
<sst xmlns="http://schemas.openxmlformats.org/spreadsheetml/2006/main" count="518" uniqueCount="283">
  <si>
    <t>Full-text methodological quality appraisal — 78-paper SLR corpus</t>
  </si>
  <si>
    <t>Criterion</t>
  </si>
  <si>
    <t>Mean</t>
  </si>
  <si>
    <t>Score 1</t>
  </si>
  <si>
    <t>Score 0.5</t>
  </si>
  <si>
    <t>Score 0</t>
  </si>
  <si>
    <t>Q1 Methodological reporting</t>
  </si>
  <si>
    <t>Q2 Data / evidence base</t>
  </si>
  <si>
    <t>Q3 Research design</t>
  </si>
  <si>
    <t>Q4 Validation</t>
  </si>
  <si>
    <t>Q5 Robustness</t>
  </si>
  <si>
    <t>Q6 Analysis-conclusion alignment</t>
  </si>
  <si>
    <t>Q7 Reproducibility</t>
  </si>
  <si>
    <t>Q8 Study limitations</t>
  </si>
  <si>
    <t>Study type</t>
  </si>
  <si>
    <t>Empirical application</t>
  </si>
  <si>
    <t>Methodological / XAI evaluation</t>
  </si>
  <si>
    <t>Conceptual / theoretical</t>
  </si>
  <si>
    <t>Review / survey</t>
  </si>
  <si>
    <t>Question</t>
  </si>
  <si>
    <t>Methodological reporting</t>
  </si>
  <si>
    <t>Q1</t>
  </si>
  <si>
    <t>Are the methodological approach and key analytical procedures clearly described?</t>
  </si>
  <si>
    <t>Reproducibility</t>
  </si>
  <si>
    <t>Q7</t>
  </si>
  <si>
    <t>Is sufficient information provided to reproduce, reconstruct, or trace how the findings were obtained?</t>
  </si>
  <si>
    <t>Q2</t>
  </si>
  <si>
    <t>Is the data or evidence base appropriate for the study objective and adequately described?</t>
  </si>
  <si>
    <t>Q8</t>
  </si>
  <si>
    <t>Does the study discuss relevant limitations, assumptions, or threats to the validity of its own findings?</t>
  </si>
  <si>
    <t>Q3</t>
  </si>
  <si>
    <t>Is the research/experimental design appropriate for addressing the stated objective?</t>
  </si>
  <si>
    <t>Q4</t>
  </si>
  <si>
    <t>Are the findings or model outputs evaluated using an appropriate validation procedure for the type of study?</t>
  </si>
  <si>
    <t>Q5</t>
  </si>
  <si>
    <t>Does the study assess whether its main findings are robust to relevant alternative specifications, conditions, data, methods, or assumptions?</t>
  </si>
  <si>
    <t>Q6</t>
  </si>
  <si>
    <t>Do the analyses and evidence presented adequately support the conclusions drawn?</t>
  </si>
  <si>
    <t>ID</t>
  </si>
  <si>
    <t>Ref</t>
  </si>
  <si>
    <t>Title</t>
  </si>
  <si>
    <t>Year</t>
  </si>
  <si>
    <t>Venue</t>
  </si>
  <si>
    <t>Search stream</t>
  </si>
  <si>
    <t>Q1 Reporting</t>
  </si>
  <si>
    <t>Q2 Data/evidence</t>
  </si>
  <si>
    <t>Q3 Design</t>
  </si>
  <si>
    <t>Q6 Support</t>
  </si>
  <si>
    <t>Q8 Limitations</t>
  </si>
  <si>
    <t>Total / 8</t>
  </si>
  <si>
    <t>Average</t>
  </si>
  <si>
    <t>URL</t>
  </si>
  <si>
    <t>\cite{park_stock_2022}</t>
  </si>
  <si>
    <t>Stock market forecasting using a multi-task approach integrating long short-term memory and the random forest framework</t>
  </si>
  <si>
    <t>2022.0</t>
  </si>
  <si>
    <t>Applied Soft Computing</t>
  </si>
  <si>
    <t>Financial</t>
  </si>
  <si>
    <t>\cite{giudici_explainable_2024}</t>
  </si>
  <si>
    <t>Explainable Artificial Intelligence methods for financial time series</t>
  </si>
  <si>
    <t>2024.0</t>
  </si>
  <si>
    <t>Physica A: Statistical Mechanics and its Applications</t>
  </si>
  <si>
    <t>\cite{parente_profitable_2024}</t>
  </si>
  <si>
    <t>A profitable trading algorithm for cryptocurrencies using a Neural Network model</t>
  </si>
  <si>
    <t>Expert Systems with Applications</t>
  </si>
  <si>
    <t>\cite{valensky_evaluating_2023}</t>
  </si>
  <si>
    <t>Evaluating Transparency: A Cross-Model Exploration of Explainable AI in Financial Forecasting</t>
  </si>
  <si>
    <t>2023.0</t>
  </si>
  <si>
    <t>Proc. IEEE Asia-Pacific Conf. Comput. Sci. Data Eng., CSDE</t>
  </si>
  <si>
    <t>\cite{mienye_deep_2024}</t>
  </si>
  <si>
    <t>Deep Learning in Finance: A Survey of Applications and Techniques</t>
  </si>
  <si>
    <t>AI (Switzerland)</t>
  </si>
  <si>
    <t>\cite{weber_applications_2024}</t>
  </si>
  <si>
    <t>Applications of Explainable Artificial Intelligence in Finance—a systematic review of Finance, Information Systems, and Computer Science literature</t>
  </si>
  <si>
    <t>Management Review Quarterly</t>
  </si>
  <si>
    <t>\cite{deng_high-frequency_2022}</t>
  </si>
  <si>
    <t>High-Frequency Direction Forecasting of the Futures Market Using a Machine-Learning-Based Method</t>
  </si>
  <si>
    <t>Future Internet</t>
  </si>
  <si>
    <t>\cite{cau_supporting_2023}</t>
  </si>
  <si>
    <t>Supporting High-Uncertainty Decisions through AI and Logic-Style Explanations</t>
  </si>
  <si>
    <t>Int Conf Intell User Interfaces Proc IUI</t>
  </si>
  <si>
    <t>\cite{freeborough_investigating_2022}</t>
  </si>
  <si>
    <t>Investigating Explainability Methods in Recurrent Neural Network Architectures for Financial Time Series Data</t>
  </si>
  <si>
    <t>Applied Sciences (Switzerland)</t>
  </si>
  <si>
    <t>\cite{abdullah_explainable_2024}</t>
  </si>
  <si>
    <t>Explainable deep learning model for stock price forecasting using textual analysis</t>
  </si>
  <si>
    <t>\cite{nguyen_robust_2024}</t>
  </si>
  <si>
    <t>Robust explainer recommendation for time series classification</t>
  </si>
  <si>
    <t>Data Min. Knowl. Discov.</t>
  </si>
  <si>
    <t>All Fields</t>
  </si>
  <si>
    <t>\cite{szostak_contextual_2025}</t>
  </si>
  <si>
    <t>Contextual Background Estimation for Explainable AI in Temperature Prediction</t>
  </si>
  <si>
    <t>2025.0</t>
  </si>
  <si>
    <t>Appl. Sci.</t>
  </si>
  <si>
    <t>\cite{sudarshan_dcentpredictivenet_2024}</t>
  </si>
  <si>
    <t>DCEnt‐PredictiveNet: A novel explainable hybrid model for time series forecasting</t>
  </si>
  <si>
    <t>Neurocomputing</t>
  </si>
  <si>
    <t>\cite{muhammad_explainable_2024}</t>
  </si>
  <si>
    <t>An explainable deep learning approach for stock market trend prediction</t>
  </si>
  <si>
    <t>Heliyon</t>
  </si>
  <si>
    <t>\cite{vielhaben_explainable_2024}</t>
  </si>
  <si>
    <t>Explainable AI for time series via Virtual Inspection Layers</t>
  </si>
  <si>
    <t>Pattern Recogn.</t>
  </si>
  <si>
    <t>\cite{rabie_novel_2025}</t>
  </si>
  <si>
    <t>A novel Fault Diagnosis Approach (FDA) for electric drives using optimized outlier detection model and long short-term memory networks</t>
  </si>
  <si>
    <t>Comput Electr Eng</t>
  </si>
  <si>
    <t>\cite{sarker_enhancing_2024}</t>
  </si>
  <si>
    <t>Enhancing smart grid load forecasting: An attention-based deep learning model integrated with federated learning and XAI for security and interpretability</t>
  </si>
  <si>
    <t>Intell. Syst. Applications.</t>
  </si>
  <si>
    <t>\cite{kuo_decoding_2024}</t>
  </si>
  <si>
    <t>Decoding micro-electrocorticographic signals by using explainable 3D convolutional neural network to predict finger movements</t>
  </si>
  <si>
    <t>J. Neurosci. Methods</t>
  </si>
  <si>
    <t>\cite{iqbal_explainable_2025}</t>
  </si>
  <si>
    <t>Explainable Self-Supervised Dynamic Neuroimaging Using Time Reversal</t>
  </si>
  <si>
    <t>Brain Sci.</t>
  </si>
  <si>
    <t>\cite{salman_analyzing_2024}</t>
  </si>
  <si>
    <t>Analyzing the Impact of Environmental Factors on Solar Power Output Using Explainable Deep Learning Techniques</t>
  </si>
  <si>
    <t>SSRG. Int. J. Electron. Commun. Eng.</t>
  </si>
  <si>
    <t>\cite{schneider_end--end_2024}</t>
  </si>
  <si>
    <t>An end-to-end machine learning approach with explanation for time series with varying lengths</t>
  </si>
  <si>
    <t>Neural Comput. Appl.</t>
  </si>
  <si>
    <t>\cite{kim_two-pathway_2024}</t>
  </si>
  <si>
    <t>Two-pathway spatiotemporal representation learning for extreme water temperature prediction</t>
  </si>
  <si>
    <t>Eng Appl Artif Intell</t>
  </si>
  <si>
    <t>\cite{sweidan_explainability_2024}</t>
  </si>
  <si>
    <t>Explainability of CNN-based Alzheimer’s disease detection from online handwriting</t>
  </si>
  <si>
    <t>Sci. Rep.</t>
  </si>
  <si>
    <t>\cite{gholian_deexp_2025}</t>
  </si>
  <si>
    <t>DeExp: Revealing Model Vulnerabilities for Spatio-Temporal Mobile Traffic Forecasting with Explainable AI</t>
  </si>
  <si>
    <t>IEEE Trans. Mob. Comput.</t>
  </si>
  <si>
    <t>\cite{troncoso-garcia_new_2025}</t>
  </si>
  <si>
    <t>A new metric based on association rules to assess feature-attribution explainability techniques for time series forecasting</t>
  </si>
  <si>
    <t>IEEE Trans Pattern Anal Mach Intell</t>
  </si>
  <si>
    <t>\cite{ndao_improving_2025}</t>
  </si>
  <si>
    <t>Improving predictive maintenance: Evaluating the impact of preprocessing and model complexity on the effectiveness of eXplainable Artificial Intelligence methods</t>
  </si>
  <si>
    <t>\cite{popov_simple_2024}</t>
  </si>
  <si>
    <t>A simple but tough-to-beat baseline for fMRI time-series classification</t>
  </si>
  <si>
    <t>NeuroImage</t>
  </si>
  <si>
    <t>\cite{eunchoi_vector_2025}</t>
  </si>
  <si>
    <t>Vector SHAP Values for Machine Learning Time Series Forecasting</t>
  </si>
  <si>
    <t>J Forecast</t>
  </si>
  <si>
    <t>\cite{hogea_logiclstm_2024}</t>
  </si>
  <si>
    <t>LogicLSTM: Logically-driven long short-term memory model for fault diagnosis in gearboxes</t>
  </si>
  <si>
    <t>J Manuf Syst</t>
  </si>
  <si>
    <t>\cite{naser_spinex-timeseries_2025}</t>
  </si>
  <si>
    <t>SPINEX-TimeSeries: Similarity-based predictions with explainable neighbors exploration for time series and forecasting problems</t>
  </si>
  <si>
    <t>Comput Ind Eng</t>
  </si>
  <si>
    <t>\cite{je-gal_time-series_2024}</t>
  </si>
  <si>
    <t>Time-Series Explanatory Fault Prediction Framework for Marine Main Engine Using Explainable Artificial Intelligence</t>
  </si>
  <si>
    <t>J. Mar. Sci. Eng.</t>
  </si>
  <si>
    <t>\cite{najjar_explainability_2025}</t>
  </si>
  <si>
    <t>Explainability of Subfield Level Crop Yield  Prediction Using Remote Sensing</t>
  </si>
  <si>
    <t>IEEE J. Sel. Top. Appl. Earth Obs. Remote Sens.</t>
  </si>
  <si>
    <t>\cite{mehraj_misgar_unveiling_2024}</t>
  </si>
  <si>
    <t>Unveiling psychotic disorder patterns: A deep learning model analysing motor activity time-series data with explainable AI</t>
  </si>
  <si>
    <t>Biomed. Signal Process. Control</t>
  </si>
  <si>
    <t>\cite{hossain_novel_2025}</t>
  </si>
  <si>
    <t>A novel hybrid ViT-LSTM model with explainable AI for brain stroke detection and classification in CT images: A case study of Rajshahi region</t>
  </si>
  <si>
    <t>Comput. Biol. Med.</t>
  </si>
  <si>
    <t>\cite{kajari_prediction_2024}</t>
  </si>
  <si>
    <t>Prediction of Inland Excess Water Inundations Using Machine Learning Algorithms</t>
  </si>
  <si>
    <t>Water</t>
  </si>
  <si>
    <t>\cite{ozkurt_interpretable_2024}</t>
  </si>
  <si>
    <t>Interpretable AI analysis of chaos systems distribution in time series data from industrial robotics</t>
  </si>
  <si>
    <t>Turk. J. Eng.</t>
  </si>
  <si>
    <t>\cite{doddaiah_explaining_2024}</t>
  </si>
  <si>
    <t>Explaining deep multi-class time series classifiers</t>
  </si>
  <si>
    <t>Knowl. Inf. Systems. Syst.</t>
  </si>
  <si>
    <t>\cite{cai_explainable_2024}</t>
  </si>
  <si>
    <t>An explainable dual-mode convolutional neural network for multivariate time series classification</t>
  </si>
  <si>
    <t>Knowl Based Syst</t>
  </si>
  <si>
    <t>\cite{jafari_novel_2024}</t>
  </si>
  <si>
    <t>A novel fusion-based deep learning approach with PSO and explainable AI for batteries State of Charge estimation in Electric Vehicles</t>
  </si>
  <si>
    <t>Energy Rep.</t>
  </si>
  <si>
    <t>\cite{zeng_advancing_2024}</t>
  </si>
  <si>
    <t>Advancing cardiac diagnostics: Exceptional accuracy in abnormal ECG signal classification with cascading deep learning and explainability analysis</t>
  </si>
  <si>
    <t>Appl. Soft Comput.</t>
  </si>
  <si>
    <t>\cite{cuellar_explainable_2024}</t>
  </si>
  <si>
    <t>Explainable anomaly detection in spacecraft telemetry</t>
  </si>
  <si>
    <t>\cite{damasevicius_decomposition_2024}</t>
  </si>
  <si>
    <t>Decomposition aided attention-based recurrent neural networks for multistep ahead time-series forecasting of renewable power generation</t>
  </si>
  <si>
    <t>PeerJ Comput. Sci.</t>
  </si>
  <si>
    <t>\cite{liu_research_2024}</t>
  </si>
  <si>
    <t>Research on the abnormal identification method of remote real-time monitoring of power system equipment based on artificial intelligence</t>
  </si>
  <si>
    <t>Aust. J. Electr. Electron. Eng.</t>
  </si>
  <si>
    <t>\cite{tronchin_translating_2024}</t>
  </si>
  <si>
    <t>Translating Image XAI to Multivariate Time Series</t>
  </si>
  <si>
    <t>IEEE Access</t>
  </si>
  <si>
    <t>\cite{saleh_genetic_2024}</t>
  </si>
  <si>
    <t>Genetic algorithm-based hybrid deep learning model for explainable Alzheimer’s disease prediction using temporal multimodal cognitive data</t>
  </si>
  <si>
    <t>Int. J. Data Sci. Anal.</t>
  </si>
  <si>
    <t>\cite{ott_using_2024}</t>
  </si>
  <si>
    <t>Using explainable AI to investigate electrocardiogram changes during healthy aging-From expert features to raw signals</t>
  </si>
  <si>
    <t>PLoS ONE</t>
  </si>
  <si>
    <t>\cite{saifullah_privacy-explainability_2024}</t>
  </si>
  <si>
    <t>The privacy-explainability trade-off: unraveling the impacts of differential privacy and federated learning on attribution methods</t>
  </si>
  <si>
    <t>Frontier. Artif. Intell.</t>
  </si>
  <si>
    <t>Problems with Shapley-value-based explanations as feature importance measures</t>
  </si>
  <si>
    <t>2020</t>
  </si>
  <si>
    <t>Why model why? Assessing the strengths and limitations of LIME</t>
  </si>
  <si>
    <t>A Perspective on Explainable Artificial Intelligence Methods: SHAP and LIME</t>
  </si>
  <si>
    <t>2025</t>
  </si>
  <si>
    <t>The Inadequacy of Shapley Values for Explainability</t>
  </si>
  <si>
    <t>2023</t>
  </si>
  <si>
    <t>On the failings of Shapley values for explainability</t>
  </si>
  <si>
    <t>2024</t>
  </si>
  <si>
    <t>International Journal of Approximate Reasoning</t>
  </si>
  <si>
    <t>Rethinking the Role of Gradient-based Attribution Methods for Model Interpretability</t>
  </si>
  <si>
    <t>\cite{fatemi_finvision_2024}</t>
  </si>
  <si>
    <t>FinVision: A Multi-Agent Framework for Stock Market Prediction</t>
  </si>
  <si>
    <t>Proceedings of the 5th ACM International Conference on AI in Finance</t>
  </si>
  <si>
    <t>\cite{arsenault_survey_2024}</t>
  </si>
  <si>
    <t>A Survey of Explainable Artificial Intelligence (XAI) in Financial Time Series Forecasting</t>
  </si>
  <si>
    <t>\cite{misheva_hypothesis_2023}</t>
  </si>
  <si>
    <t>A Hypothesis on Good Practices for AI-based Systems for Financial Time Series Forecasting: Towards Domain-Driven XAI Methods</t>
  </si>
  <si>
    <t>\cite{ghimire_timetrail_2023}</t>
  </si>
  <si>
    <t>TimeTrail: Unveiling Financial Fraud Patterns through Temporal Correlation Analysis</t>
  </si>
  <si>
    <t>\cite{neri_how_2020}</t>
  </si>
  <si>
    <t>How to Identify Investor's types in real financial markets by means of agent based simulation</t>
  </si>
  <si>
    <t>2020.0</t>
  </si>
  <si>
    <t>\cite{philps_making_2019}</t>
  </si>
  <si>
    <t>Making Good on LSTMs' Unfulfilled Promise</t>
  </si>
  <si>
    <t>2019.0</t>
  </si>
  <si>
    <t>\cite{matsunaga_exploring_2019}</t>
  </si>
  <si>
    <t>Exploring Graph Neural Networks for Stock Market Predictions with Rolling Window Analysis</t>
  </si>
  <si>
    <t>\cite{kumar_opening_2017}</t>
  </si>
  <si>
    <t>Opening the Black Box of Financial AI with CLEAR-Trade: A CLass-Enhanced Attentive Response Approach for Explaining and Visualizing Deep Learning-Driven Stock Market Prediction</t>
  </si>
  <si>
    <t>2017.0</t>
  </si>
  <si>
    <t>Explainable AI for Time Series Classification: A Review, Taxonomy and Research Directions</t>
  </si>
  <si>
    <t>2022</t>
  </si>
  <si>
    <t>Benchmarking Deep Learning Interpretability in Time Series Predictions</t>
  </si>
  <si>
    <t>Advances in Neural Information Processing Systems</t>
  </si>
  <si>
    <t>Explainable Artificial Intelligence (XAI) 2.0: A manifesto of open challenges and interdisciplinary research directions</t>
  </si>
  <si>
    <t>Information Fusion</t>
  </si>
  <si>
    <t>Interpretation of Time-Series Deep Models: A Survey</t>
  </si>
  <si>
    <t>The Explanation Game: Explaining Machine Learning Models with Cooperative Game Theory</t>
  </si>
  <si>
    <t>2019</t>
  </si>
  <si>
    <t>\cite{cao_ister_2024}</t>
  </si>
  <si>
    <t>Ister: Inverted Seasonal-Trend Decomposition Transformer for Explainable Multivariate Time Series Forecasting</t>
  </si>
  <si>
    <t>\cite{chakraborty_edformer_2024}</t>
  </si>
  <si>
    <t>EDformer: Embedded Decomposition Transformer for Interpretable Multivariate Time Series Predictions</t>
  </si>
  <si>
    <t>\cite{brusch_flextime_2024}</t>
  </si>
  <si>
    <t>FLEXtime: Filterbank learning to explain time series</t>
  </si>
  <si>
    <t>\cite{rezaei_explanation_2024}</t>
  </si>
  <si>
    <t>Explanation Space: A New Perspective into Time Series Interpretability</t>
  </si>
  <si>
    <t>\cite{brusch_freqrise_2024}</t>
  </si>
  <si>
    <t>FreqRISE: Explaining time series using frequency masking</t>
  </si>
  <si>
    <t>\cite{serramazza_improving_2024}</t>
  </si>
  <si>
    <t>Improving the Evaluation and Actionability of Explanation Methods for Multivariate Time Series Classification</t>
  </si>
  <si>
    <t>\cite{xu_kolmogorov-arnold_2024}</t>
  </si>
  <si>
    <t>Kolmogorov-Arnold Networks for Time Series: Bridging Predictive Power and Interpretability</t>
  </si>
  <si>
    <t>\cite{oprea_evaluating_2024}</t>
  </si>
  <si>
    <t>Evaluating the Explainable AI Method Grad-CAM for Breath Classification on Newborn Time Series Data</t>
  </si>
  <si>
    <t>\cite{der_pupae_2024}</t>
  </si>
  <si>
    <t>PUPAE: Intuitive and Actionable Explanations for Time Series Anomalies</t>
  </si>
  <si>
    <t>\cite{schneider_time-series_2025}</t>
  </si>
  <si>
    <t>Time-series attribution maps with regularized contrastive learning</t>
  </si>
  <si>
    <t>\cite{todd_explainable_2025}</t>
  </si>
  <si>
    <t>Explainable Time Series Prediction of Tyre Energy in Formula One Race Strategy</t>
  </si>
  <si>
    <t>Explainable Artificial Intelligence (XAI): Concepts, taxonomies, opportunities and challenges toward responsible AI</t>
  </si>
  <si>
    <t>Dimension</t>
  </si>
  <si>
    <t>Reporting</t>
  </si>
  <si>
    <t>Data / evidence base</t>
  </si>
  <si>
    <t>Rigor</t>
  </si>
  <si>
    <t>Research design</t>
  </si>
  <si>
    <t>Validation</t>
  </si>
  <si>
    <t>Robustness</t>
  </si>
  <si>
    <t>Credibility</t>
  </si>
  <si>
    <t>Analysis-conclusion alignment</t>
  </si>
  <si>
    <t>Study limitations</t>
  </si>
  <si>
    <t>Full-text appraisal methodology</t>
  </si>
  <si>
    <t>Scoring</t>
  </si>
  <si>
    <t>1 = clearly demonstrated; 0.5 = partially demonstrated; 0 = not demonstrated.</t>
  </si>
  <si>
    <t>Interpretation rules: Q4 for predictive empirical studies requires a suitable held-out/out-of-sample, temporal, external, benchmark, or equivalent validation; for XAI-method papers it can be ground truth, faithfulness/stability testing, human/domain evaluation, or comparison with competing explainers; for reviews it concerns reliability/appraisal of the synthesis; for theoretical/conceptual papers it can be formal proof, counterexample, simulation, or empirical illustration. Q5 requires evidence beyond the single primary evaluation. Q8 counts limitations of the paper's own study, not merely limitations of SHAP/LIME/XAI in general.</t>
  </si>
  <si>
    <t>Methodological precedent</t>
  </si>
  <si>
    <t>Value</t>
  </si>
  <si>
    <t>Primary precedent</t>
  </si>
  <si>
    <t>Newcomb &amp; Ochoa (2026), Frontiers in Artificial Intelligence</t>
  </si>
  <si>
    <t>https://www.frontiersin.org/journals/artificial-intelligence/articles/10.3389/frai.2026.1749956/full</t>
  </si>
  <si>
    <t>Role of appraisal</t>
  </si>
  <si>
    <t>Post-inclusion characterization of methodological quality; no retrospective exclusion threshold.</t>
  </si>
  <si>
    <t>Other</t>
  </si>
  <si>
    <t>Scores: 1 = clearly demonstrated; 0.5 = partially demonstrated; 0 = not demonstrated.</t>
  </si>
  <si>
    <t>The common framework is interpreted according to study type: empirical papers are assessed using datasets/experiments; review papers using their literature corpus/search/synthesis; conceptual/theoretical papers using formal arguments, examples, simulations, or supporting literature. Q4 (validation) is therefore study-type dependent.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</si>
</sst>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name val="Carlito"/>
    </font>
    <font>
      <b/>
      <sz val="16"/>
      <color rgb="FFFFFFFF"/>
      <name val="Carlito"/>
    </font>
    <font>
      <sz val="11"/>
      <color rgb="FF1F2937"/>
      <name val="Carlito"/>
    </font>
    <font>
      <b/>
      <sz val="11"/>
      <color rgb="FFFFFFFF"/>
      <name val="Carlito"/>
    </font>
    <font>
      <b/>
      <sz val="15"/>
      <color rgb="FFFFFFFF"/>
      <name val="Carlito"/>
    </font>
    <font>
      <sz val="11"/>
      <color rgb="FF7F6000"/>
      <name val="Carlito"/>
    </font>
  </fonts>
  <fills count="8">
    <fill>
      <patternFill patternType="none"/>
    </fill>
    <fill>
      <patternFill patternType="gray125"/>
    </fill>
    <fill>
      <patternFill patternType="solid">
        <fgColor rgb="FF17365D"/>
      </patternFill>
    </fill>
    <fill>
      <patternFill patternType="solid">
        <fgColor rgb="FFD9EAF7"/>
      </patternFill>
    </fill>
    <fill>
      <patternFill patternType="solid">
        <fgColor rgb="FFF4F8FC"/>
      </patternFill>
    </fill>
    <fill>
      <patternFill patternType="solid">
        <fgColor rgb="FFFCE4D6"/>
      </patternFill>
    </fill>
    <fill>
      <patternFill patternType="solid">
        <fgColor rgb="FFF7FAFC"/>
      </patternFill>
    </fill>
    <fill>
      <patternFill patternType="solid">
        <fgColor theme="0"/>
        <bgColor indexed="64"/>
      </patternFill>
    </fill>
  </fills>
  <borders count="1">
    <border>
      <left/>
      <right/>
      <top/>
      <bottom/>
      <diagonal/>
    </border>
  </borders>
  <cellStyleXfs count="1">
    <xf numFmtId="0" fontId="0" fillId="0" borderId="0"/>
  </cellStyleXfs>
  <cellXfs count="19">
    <xf numFmtId="0" fontId="0" fillId="0" borderId="0" xfId="0"/>
    <xf numFmtId="0" fontId="3" fillId="2" borderId="0" xfId="0" applyFont="1" applyFill="1" applyAlignment="1">
      <alignment wrapText="1"/>
    </xf>
    <xf numFmtId="0" fontId="3" fillId="2" borderId="0" xfId="0" applyFont="1" applyFill="1" applyAlignment="1">
      <alignment horizontal="center" wrapText="1"/>
    </xf>
    <xf numFmtId="0" fontId="0" fillId="0" borderId="0" xfId="0" applyAlignment="1">
      <alignment wrapText="1"/>
    </xf>
    <xf numFmtId="2" fontId="0" fillId="0" borderId="0" xfId="0" applyNumberFormat="1" applyAlignment="1">
      <alignment wrapText="1"/>
    </xf>
    <xf numFmtId="0" fontId="3" fillId="2" borderId="0" xfId="0" applyFont="1" applyFill="1" applyAlignment="1">
      <alignment horizontal="center" vertical="center" wrapText="1"/>
    </xf>
    <xf numFmtId="0" fontId="0" fillId="0" borderId="0" xfId="0" applyAlignment="1">
      <alignment vertical="top" wrapText="1"/>
    </xf>
    <xf numFmtId="164" fontId="0" fillId="0" borderId="0" xfId="0" applyNumberFormat="1" applyAlignment="1">
      <alignment vertical="top" wrapText="1"/>
    </xf>
    <xf numFmtId="0" fontId="0" fillId="4" borderId="0" xfId="0" applyFill="1" applyAlignment="1">
      <alignment vertical="top" wrapText="1"/>
    </xf>
    <xf numFmtId="164" fontId="0" fillId="4" borderId="0" xfId="0" applyNumberFormat="1" applyFill="1" applyAlignment="1">
      <alignment vertical="top" wrapText="1"/>
    </xf>
    <xf numFmtId="0" fontId="3" fillId="2" borderId="0" xfId="0" applyFont="1" applyFill="1" applyAlignment="1">
      <alignment vertical="top" wrapText="1"/>
    </xf>
    <xf numFmtId="0" fontId="1" fillId="2" borderId="0" xfId="0" applyFont="1" applyFill="1"/>
    <xf numFmtId="0" fontId="2" fillId="3" borderId="0" xfId="0" applyFont="1" applyFill="1" applyAlignment="1">
      <alignment vertical="top" wrapText="1"/>
    </xf>
    <xf numFmtId="0" fontId="4" fillId="2" borderId="0" xfId="0" applyFont="1" applyFill="1"/>
    <xf numFmtId="0" fontId="0" fillId="3" borderId="0" xfId="0" applyFill="1" applyAlignment="1">
      <alignment vertical="top" wrapText="1"/>
    </xf>
    <xf numFmtId="0" fontId="5" fillId="5" borderId="0" xfId="0" applyFont="1" applyFill="1" applyAlignment="1">
      <alignment wrapText="1"/>
    </xf>
    <xf numFmtId="0" fontId="3" fillId="0" borderId="0" xfId="0" applyFont="1" applyFill="1" applyAlignment="1">
      <alignment horizontal="center" wrapText="1"/>
    </xf>
    <xf numFmtId="0" fontId="0" fillId="6" borderId="0" xfId="0" applyFill="1" applyAlignment="1">
      <alignment vertical="top" wrapText="1"/>
    </xf>
    <xf numFmtId="0" fontId="0" fillId="7" borderId="0" xfId="0" applyFill="1"/>
  </cellXfs>
  <cellStyles count="1">
    <cellStyle name="Normal" xfId="0" builtinId="0"/>
  </cellStyles>
  <dxfs count="1">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autoTitleDeleted val="1"/>
    <c:plotArea>
      <c:layout/>
      <c:barChart>
        <c:barDir val="col"/>
        <c:grouping val="clustered"/>
        <c:varyColors val="0"/>
        <c:ser>
          <c:idx val="0"/>
          <c:order val="0"/>
          <c:tx>
            <c:v>Mean</c:v>
          </c:tx>
          <c:invertIfNegative val="1"/>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Summary!$A$8:$A$15</c:f>
              <c:strCache>
                <c:ptCount val="8"/>
                <c:pt idx="0">
                  <c:v>Q1 Methodological reporting</c:v>
                </c:pt>
                <c:pt idx="1">
                  <c:v>Q2 Data / evidence base</c:v>
                </c:pt>
                <c:pt idx="2">
                  <c:v>Q3 Research design</c:v>
                </c:pt>
                <c:pt idx="3">
                  <c:v>Q4 Validation</c:v>
                </c:pt>
                <c:pt idx="4">
                  <c:v>Q5 Robustness</c:v>
                </c:pt>
                <c:pt idx="5">
                  <c:v>Q6 Analysis-conclusion alignment</c:v>
                </c:pt>
                <c:pt idx="6">
                  <c:v>Q7 Reproducibility</c:v>
                </c:pt>
                <c:pt idx="7">
                  <c:v>Q8 Study limitations</c:v>
                </c:pt>
              </c:strCache>
            </c:strRef>
          </c:cat>
          <c:val>
            <c:numRef>
              <c:f>Summary!$B$8:$B$15</c:f>
              <c:numCache>
                <c:formatCode>0.00</c:formatCode>
                <c:ptCount val="8"/>
                <c:pt idx="0">
                  <c:v>0.94871794871794868</c:v>
                </c:pt>
                <c:pt idx="1">
                  <c:v>0.94230769230769229</c:v>
                </c:pt>
                <c:pt idx="2">
                  <c:v>0.96153846153846156</c:v>
                </c:pt>
                <c:pt idx="3">
                  <c:v>0.88461538461538458</c:v>
                </c:pt>
                <c:pt idx="4">
                  <c:v>0.66666666666666663</c:v>
                </c:pt>
                <c:pt idx="5">
                  <c:v>0.92948717948717952</c:v>
                </c:pt>
                <c:pt idx="6">
                  <c:v>0.62820512820512819</c:v>
                </c:pt>
                <c:pt idx="7">
                  <c:v>0.57051282051282048</c:v>
                </c:pt>
              </c:numCache>
            </c:numRef>
          </c:val>
          <c:extLst>
            <c:ext xmlns:c16="http://schemas.microsoft.com/office/drawing/2014/chart" uri="{C3380CC4-5D6E-409C-BE32-E72D297353CC}">
              <c16:uniqueId val="{00000000-12B0-3740-A0CA-5663227AD61D}"/>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max val="1"/>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304800</xdr:colOff>
      <xdr:row>16</xdr:row>
      <xdr:rowOff>139700</xdr:rowOff>
    </xdr:from>
    <xdr:to>
      <xdr:col>5</xdr:col>
      <xdr:colOff>3492500</xdr:colOff>
      <xdr:row>51</xdr:row>
      <xdr:rowOff>101600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ullTextScoresTable" displayName="FullTextScoresTable" ref="A1:Q1048575" totalsRowShown="0">
  <tableColumns count="17">
    <tableColumn id="1" xr3:uid="{00000000-0010-0000-0000-000001000000}" name="ID"/>
    <tableColumn id="2" xr3:uid="{00000000-0010-0000-0000-000002000000}" name="Ref"/>
    <tableColumn id="3" xr3:uid="{00000000-0010-0000-0000-000003000000}" name="Title"/>
    <tableColumn id="4" xr3:uid="{00000000-0010-0000-0000-000004000000}" name="Year"/>
    <tableColumn id="5" xr3:uid="{00000000-0010-0000-0000-000005000000}" name="Venue"/>
    <tableColumn id="6" xr3:uid="{00000000-0010-0000-0000-000006000000}" name="Search stream"/>
    <tableColumn id="8" xr3:uid="{3400E983-9250-E64B-BC37-879355EF1C75}" name="Study type" dataDxfId="0"/>
    <tableColumn id="9" xr3:uid="{00000000-0010-0000-0000-000009000000}" name="Q1 Reporting"/>
    <tableColumn id="10" xr3:uid="{00000000-0010-0000-0000-00000A000000}" name="Q2 Data/evidence"/>
    <tableColumn id="11" xr3:uid="{00000000-0010-0000-0000-00000B000000}" name="Q3 Design"/>
    <tableColumn id="12" xr3:uid="{00000000-0010-0000-0000-00000C000000}" name="Q4 Validation"/>
    <tableColumn id="13" xr3:uid="{00000000-0010-0000-0000-00000D000000}" name="Q5 Robustness"/>
    <tableColumn id="14" xr3:uid="{00000000-0010-0000-0000-00000E000000}" name="Q6 Support"/>
    <tableColumn id="15" xr3:uid="{00000000-0010-0000-0000-00000F000000}" name="Q7 Reproducibility"/>
    <tableColumn id="16" xr3:uid="{00000000-0010-0000-0000-000010000000}" name="Q8 Limitations"/>
    <tableColumn id="17" xr3:uid="{00000000-0010-0000-0000-000011000000}" name="Total / 8"/>
    <tableColumn id="18" xr3:uid="{00000000-0010-0000-0000-000012000000}" name="Averag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topLeftCell="A7" zoomScale="91" workbookViewId="0">
      <selection activeCell="H15" sqref="H15"/>
    </sheetView>
  </sheetViews>
  <sheetFormatPr baseColWidth="10" defaultColWidth="8.83203125" defaultRowHeight="14"/>
  <cols>
    <col min="1" max="1" width="31" customWidth="1"/>
    <col min="2" max="5" width="13" customWidth="1"/>
    <col min="6" max="6" width="55" customWidth="1"/>
    <col min="7" max="8" width="18" customWidth="1"/>
  </cols>
  <sheetData>
    <row r="1" spans="1:8" ht="40" customHeight="1">
      <c r="A1" s="11" t="s">
        <v>0</v>
      </c>
      <c r="B1" s="11"/>
      <c r="C1" s="11"/>
      <c r="D1" s="11"/>
      <c r="E1" s="11"/>
      <c r="F1" s="11"/>
      <c r="G1" s="11"/>
      <c r="H1" s="11"/>
    </row>
    <row r="3" spans="1:8">
      <c r="A3" s="12" t="s">
        <v>281</v>
      </c>
      <c r="B3" s="12"/>
      <c r="C3" s="12"/>
      <c r="D3" s="12"/>
      <c r="E3" s="12"/>
      <c r="F3" s="12"/>
      <c r="G3" s="12"/>
      <c r="H3" s="12"/>
    </row>
    <row r="4" spans="1:8">
      <c r="A4" s="12"/>
      <c r="B4" s="12"/>
      <c r="C4" s="12"/>
      <c r="D4" s="12"/>
      <c r="E4" s="12"/>
      <c r="F4" s="12"/>
      <c r="G4" s="12"/>
      <c r="H4" s="12"/>
    </row>
    <row r="5" spans="1:8">
      <c r="A5" s="12"/>
      <c r="B5" s="12"/>
      <c r="C5" s="12"/>
      <c r="D5" s="12"/>
      <c r="E5" s="12"/>
      <c r="F5" s="12"/>
      <c r="G5" s="12"/>
      <c r="H5" s="12"/>
    </row>
    <row r="7" spans="1:8" ht="16">
      <c r="A7" s="2" t="s">
        <v>1</v>
      </c>
      <c r="B7" s="2" t="s">
        <v>2</v>
      </c>
      <c r="C7" s="2" t="s">
        <v>3</v>
      </c>
      <c r="D7" s="2" t="s">
        <v>4</v>
      </c>
      <c r="E7" s="2" t="s">
        <v>5</v>
      </c>
      <c r="F7" s="16"/>
    </row>
    <row r="8" spans="1:8" ht="15">
      <c r="A8" s="3" t="s">
        <v>6</v>
      </c>
      <c r="B8" s="4">
        <f>AVERAGE(Scores!H2:H1048576)</f>
        <v>0.94871794871794868</v>
      </c>
      <c r="C8" s="3">
        <f>COUNTIF(Scores!H2:H1048576,1)</f>
        <v>70</v>
      </c>
      <c r="D8" s="3">
        <f>COUNTIF(Scores!H2:H1048576,0.5)</f>
        <v>8</v>
      </c>
      <c r="E8" s="3">
        <f>COUNTIF(Scores!H2:H1048576,0)</f>
        <v>0</v>
      </c>
      <c r="F8" s="3"/>
    </row>
    <row r="9" spans="1:8" ht="15">
      <c r="A9" s="3" t="s">
        <v>7</v>
      </c>
      <c r="B9" s="4">
        <f>AVERAGE(Scores!I2:I1048576)</f>
        <v>0.94230769230769229</v>
      </c>
      <c r="C9" s="3">
        <f>COUNTIF(Scores!I2:I1048576,1)</f>
        <v>69</v>
      </c>
      <c r="D9" s="3">
        <f>COUNTIF(Scores!I2:I1048576,0.5)</f>
        <v>9</v>
      </c>
      <c r="E9" s="3">
        <f>COUNTIF(Scores!I2:I1048576,0)</f>
        <v>0</v>
      </c>
      <c r="F9" s="3"/>
    </row>
    <row r="10" spans="1:8" ht="15">
      <c r="A10" s="3" t="s">
        <v>8</v>
      </c>
      <c r="B10" s="4">
        <f>AVERAGE(Scores!J2:J1048576)</f>
        <v>0.96153846153846156</v>
      </c>
      <c r="C10" s="3">
        <f>COUNTIF(Scores!J2:J1048576,1)</f>
        <v>72</v>
      </c>
      <c r="D10" s="3">
        <f>COUNTIF(Scores!J2:J1048576,0.5)</f>
        <v>6</v>
      </c>
      <c r="E10" s="3">
        <f>COUNTIF(Scores!J2:J1048576,0)</f>
        <v>0</v>
      </c>
      <c r="F10" s="3"/>
    </row>
    <row r="11" spans="1:8" ht="15">
      <c r="A11" s="3" t="s">
        <v>9</v>
      </c>
      <c r="B11" s="4">
        <f>AVERAGE(Scores!K2:K1048576)</f>
        <v>0.88461538461538458</v>
      </c>
      <c r="C11" s="3">
        <f>COUNTIF(Scores!K2:K1048576,1)</f>
        <v>66</v>
      </c>
      <c r="D11" s="3">
        <f>COUNTIF(Scores!K2:K1048576,0.5)</f>
        <v>6</v>
      </c>
      <c r="E11" s="3">
        <f>COUNTIF(Scores!K2:K1048576,0)</f>
        <v>6</v>
      </c>
      <c r="F11" s="3"/>
    </row>
    <row r="12" spans="1:8" ht="15">
      <c r="A12" s="3" t="s">
        <v>10</v>
      </c>
      <c r="B12" s="4">
        <f>AVERAGE(Scores!L2:L1048576)</f>
        <v>0.66666666666666663</v>
      </c>
      <c r="C12" s="3">
        <f>COUNTIF(Scores!L2:L1048576,1)</f>
        <v>38</v>
      </c>
      <c r="D12" s="3">
        <f>COUNTIF(Scores!L2:L1048576,0.5)</f>
        <v>28</v>
      </c>
      <c r="E12" s="3">
        <f>COUNTIF(Scores!L2:L1048576,0)</f>
        <v>12</v>
      </c>
      <c r="F12" s="3"/>
    </row>
    <row r="13" spans="1:8" ht="15">
      <c r="A13" s="3" t="s">
        <v>11</v>
      </c>
      <c r="B13" s="4">
        <f>AVERAGE(Scores!M2:M1048576)</f>
        <v>0.92948717948717952</v>
      </c>
      <c r="C13" s="3">
        <f>COUNTIF(Scores!M2:M1048576,1)</f>
        <v>67</v>
      </c>
      <c r="D13" s="3">
        <f>COUNTIF(Scores!M2:M1048576,0.5)</f>
        <v>11</v>
      </c>
      <c r="E13" s="3">
        <f>COUNTIF(Scores!M2:M1048576,0)</f>
        <v>0</v>
      </c>
      <c r="F13" s="3"/>
    </row>
    <row r="14" spans="1:8" ht="15">
      <c r="A14" s="3" t="s">
        <v>12</v>
      </c>
      <c r="B14" s="4">
        <f>AVERAGE(Scores!N2:N1048576)</f>
        <v>0.62820512820512819</v>
      </c>
      <c r="C14" s="3">
        <f>COUNTIF(Scores!N2:N1048576,1)</f>
        <v>26</v>
      </c>
      <c r="D14" s="3">
        <f>COUNTIF(Scores!N2:N1048576,0.5)</f>
        <v>46</v>
      </c>
      <c r="E14" s="3">
        <f>COUNTIF(Scores!N2:N1048576,0)</f>
        <v>6</v>
      </c>
      <c r="F14" s="3"/>
    </row>
    <row r="15" spans="1:8" ht="15">
      <c r="A15" s="3" t="s">
        <v>13</v>
      </c>
      <c r="B15" s="4">
        <f>AVERAGE(Scores!O2:O1048576)</f>
        <v>0.57051282051282048</v>
      </c>
      <c r="C15" s="3">
        <f>COUNTIF(Scores!O2:O1048576,1)</f>
        <v>31</v>
      </c>
      <c r="D15" s="3">
        <f>COUNTIF(Scores!O2:O1048576,0.5)</f>
        <v>27</v>
      </c>
      <c r="E15" s="3">
        <f>COUNTIF(Scores!O2:O1048576,0)</f>
        <v>20</v>
      </c>
      <c r="F15" s="3"/>
    </row>
  </sheetData>
  <mergeCells count="2">
    <mergeCell ref="A1:H1"/>
    <mergeCell ref="A3:H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9"/>
  <sheetViews>
    <sheetView topLeftCell="E1" workbookViewId="0">
      <selection activeCell="H2" sqref="H2"/>
    </sheetView>
  </sheetViews>
  <sheetFormatPr baseColWidth="10" defaultColWidth="8.83203125" defaultRowHeight="14"/>
  <cols>
    <col min="1" max="1" width="6" style="18" customWidth="1"/>
    <col min="2" max="2" width="20" style="18" customWidth="1"/>
    <col min="3" max="3" width="48" style="18" customWidth="1"/>
    <col min="4" max="4" width="9" style="18" customWidth="1"/>
    <col min="5" max="5" width="30" style="18" customWidth="1"/>
    <col min="6" max="6" width="14" style="18" customWidth="1"/>
    <col min="7" max="7" width="27" style="18" customWidth="1"/>
    <col min="8" max="8" width="14" style="18" customWidth="1"/>
    <col min="9" max="9" width="11" style="18" customWidth="1"/>
    <col min="10" max="11" width="13" style="18" customWidth="1"/>
    <col min="12" max="12" width="12" style="18" customWidth="1"/>
    <col min="13" max="13" width="16" style="18" customWidth="1"/>
    <col min="14" max="14" width="13" style="18" customWidth="1"/>
    <col min="15" max="15" width="10" style="18" customWidth="1"/>
    <col min="16" max="16" width="11" style="18" customWidth="1"/>
    <col min="17" max="17" width="8.83203125" style="18"/>
  </cols>
  <sheetData>
    <row r="1" spans="1:17" ht="45.25" customHeight="1">
      <c r="A1" s="5" t="s">
        <v>38</v>
      </c>
      <c r="B1" s="5" t="s">
        <v>39</v>
      </c>
      <c r="C1" s="5" t="s">
        <v>40</v>
      </c>
      <c r="D1" s="5" t="s">
        <v>41</v>
      </c>
      <c r="E1" s="5" t="s">
        <v>42</v>
      </c>
      <c r="F1" s="5" t="s">
        <v>43</v>
      </c>
      <c r="G1" s="5" t="s">
        <v>14</v>
      </c>
      <c r="H1" s="5" t="s">
        <v>44</v>
      </c>
      <c r="I1" s="5" t="s">
        <v>45</v>
      </c>
      <c r="J1" s="5" t="s">
        <v>46</v>
      </c>
      <c r="K1" s="5" t="s">
        <v>9</v>
      </c>
      <c r="L1" s="5" t="s">
        <v>10</v>
      </c>
      <c r="M1" s="5" t="s">
        <v>47</v>
      </c>
      <c r="N1" s="5" t="s">
        <v>12</v>
      </c>
      <c r="O1" s="5" t="s">
        <v>48</v>
      </c>
      <c r="P1" s="5" t="s">
        <v>49</v>
      </c>
      <c r="Q1" s="5" t="s">
        <v>50</v>
      </c>
    </row>
    <row r="2" spans="1:17" ht="45">
      <c r="A2" s="8">
        <v>1</v>
      </c>
      <c r="B2" s="8" t="s">
        <v>52</v>
      </c>
      <c r="C2" s="8" t="s">
        <v>53</v>
      </c>
      <c r="D2" s="8" t="s">
        <v>54</v>
      </c>
      <c r="E2" s="8" t="s">
        <v>55</v>
      </c>
      <c r="F2" s="8" t="s">
        <v>56</v>
      </c>
      <c r="G2" s="17" t="s">
        <v>15</v>
      </c>
      <c r="H2" s="6">
        <v>1</v>
      </c>
      <c r="I2" s="6">
        <v>1</v>
      </c>
      <c r="J2" s="6">
        <v>1</v>
      </c>
      <c r="K2" s="6">
        <v>1</v>
      </c>
      <c r="L2" s="6">
        <v>1</v>
      </c>
      <c r="M2" s="6">
        <v>1</v>
      </c>
      <c r="N2" s="6">
        <v>1</v>
      </c>
      <c r="O2" s="6">
        <v>1</v>
      </c>
      <c r="P2" s="8">
        <f t="shared" ref="P2:P33" si="0">SUM(H2:O2)</f>
        <v>8</v>
      </c>
      <c r="Q2" s="9">
        <f t="shared" ref="Q2:Q33" si="1">P2/8</f>
        <v>1</v>
      </c>
    </row>
    <row r="3" spans="1:17" ht="30">
      <c r="A3" s="6">
        <v>2</v>
      </c>
      <c r="B3" s="6" t="s">
        <v>57</v>
      </c>
      <c r="C3" s="6" t="s">
        <v>58</v>
      </c>
      <c r="D3" s="6" t="s">
        <v>59</v>
      </c>
      <c r="E3" s="6" t="s">
        <v>60</v>
      </c>
      <c r="F3" s="6" t="s">
        <v>56</v>
      </c>
      <c r="G3" s="6" t="s">
        <v>16</v>
      </c>
      <c r="H3" s="6">
        <v>1</v>
      </c>
      <c r="I3" s="6">
        <v>1</v>
      </c>
      <c r="J3" s="6">
        <v>1</v>
      </c>
      <c r="K3" s="6">
        <v>1</v>
      </c>
      <c r="L3" s="6">
        <v>1</v>
      </c>
      <c r="M3" s="6">
        <v>1</v>
      </c>
      <c r="N3" s="6">
        <v>0.5</v>
      </c>
      <c r="O3" s="6">
        <v>0.5</v>
      </c>
      <c r="P3" s="6">
        <f t="shared" si="0"/>
        <v>7</v>
      </c>
      <c r="Q3" s="7">
        <f t="shared" si="1"/>
        <v>0.875</v>
      </c>
    </row>
    <row r="4" spans="1:17" ht="30">
      <c r="A4" s="8">
        <v>3</v>
      </c>
      <c r="B4" s="8" t="s">
        <v>61</v>
      </c>
      <c r="C4" s="8" t="s">
        <v>62</v>
      </c>
      <c r="D4" s="8" t="s">
        <v>59</v>
      </c>
      <c r="E4" s="8" t="s">
        <v>63</v>
      </c>
      <c r="F4" s="8" t="s">
        <v>56</v>
      </c>
      <c r="G4" s="17" t="s">
        <v>15</v>
      </c>
      <c r="H4" s="6">
        <v>1</v>
      </c>
      <c r="I4" s="6">
        <v>1</v>
      </c>
      <c r="J4" s="6">
        <v>1</v>
      </c>
      <c r="K4" s="6">
        <v>1</v>
      </c>
      <c r="L4" s="6">
        <v>1</v>
      </c>
      <c r="M4" s="6">
        <v>1</v>
      </c>
      <c r="N4" s="6">
        <v>0.5</v>
      </c>
      <c r="O4" s="6">
        <v>0.5</v>
      </c>
      <c r="P4" s="8">
        <f t="shared" si="0"/>
        <v>7</v>
      </c>
      <c r="Q4" s="9">
        <f t="shared" si="1"/>
        <v>0.875</v>
      </c>
    </row>
    <row r="5" spans="1:17" ht="30">
      <c r="A5" s="6">
        <v>4</v>
      </c>
      <c r="B5" s="6" t="s">
        <v>64</v>
      </c>
      <c r="C5" s="6" t="s">
        <v>65</v>
      </c>
      <c r="D5" s="6" t="s">
        <v>66</v>
      </c>
      <c r="E5" s="6" t="s">
        <v>67</v>
      </c>
      <c r="F5" s="6" t="s">
        <v>56</v>
      </c>
      <c r="G5" s="6" t="s">
        <v>16</v>
      </c>
      <c r="H5" s="6">
        <v>1</v>
      </c>
      <c r="I5" s="6">
        <v>1</v>
      </c>
      <c r="J5" s="6">
        <v>1</v>
      </c>
      <c r="K5" s="6">
        <v>1</v>
      </c>
      <c r="L5" s="6">
        <v>0.5</v>
      </c>
      <c r="M5" s="6">
        <v>1</v>
      </c>
      <c r="N5" s="6">
        <v>0.5</v>
      </c>
      <c r="O5" s="6">
        <v>1</v>
      </c>
      <c r="P5" s="6">
        <f t="shared" si="0"/>
        <v>7</v>
      </c>
      <c r="Q5" s="7">
        <f t="shared" si="1"/>
        <v>0.875</v>
      </c>
    </row>
    <row r="6" spans="1:17" ht="30">
      <c r="A6" s="8">
        <v>5</v>
      </c>
      <c r="B6" s="8" t="s">
        <v>68</v>
      </c>
      <c r="C6" s="8" t="s">
        <v>69</v>
      </c>
      <c r="D6" s="8" t="s">
        <v>59</v>
      </c>
      <c r="E6" s="8" t="s">
        <v>70</v>
      </c>
      <c r="F6" s="8" t="s">
        <v>56</v>
      </c>
      <c r="G6" s="17" t="s">
        <v>18</v>
      </c>
      <c r="H6" s="6">
        <v>0.5</v>
      </c>
      <c r="I6" s="6">
        <v>0.5</v>
      </c>
      <c r="J6" s="6">
        <v>0.5</v>
      </c>
      <c r="K6" s="6">
        <v>0</v>
      </c>
      <c r="L6" s="6">
        <v>0</v>
      </c>
      <c r="M6" s="6">
        <v>0.5</v>
      </c>
      <c r="N6" s="6">
        <v>0</v>
      </c>
      <c r="O6" s="6">
        <v>0</v>
      </c>
      <c r="P6" s="8">
        <f t="shared" si="0"/>
        <v>2</v>
      </c>
      <c r="Q6" s="9">
        <f t="shared" si="1"/>
        <v>0.25</v>
      </c>
    </row>
    <row r="7" spans="1:17" ht="45">
      <c r="A7" s="6">
        <v>6</v>
      </c>
      <c r="B7" s="6" t="s">
        <v>71</v>
      </c>
      <c r="C7" s="6" t="s">
        <v>72</v>
      </c>
      <c r="D7" s="6" t="s">
        <v>59</v>
      </c>
      <c r="E7" s="6" t="s">
        <v>73</v>
      </c>
      <c r="F7" s="6" t="s">
        <v>56</v>
      </c>
      <c r="G7" s="6" t="s">
        <v>18</v>
      </c>
      <c r="H7" s="6">
        <v>1</v>
      </c>
      <c r="I7" s="6">
        <v>1</v>
      </c>
      <c r="J7" s="6">
        <v>1</v>
      </c>
      <c r="K7" s="6">
        <v>0.5</v>
      </c>
      <c r="L7" s="6">
        <v>0</v>
      </c>
      <c r="M7" s="6">
        <v>1</v>
      </c>
      <c r="N7" s="6">
        <v>1</v>
      </c>
      <c r="O7" s="6">
        <v>1</v>
      </c>
      <c r="P7" s="6">
        <f t="shared" si="0"/>
        <v>6.5</v>
      </c>
      <c r="Q7" s="7">
        <f t="shared" si="1"/>
        <v>0.8125</v>
      </c>
    </row>
    <row r="8" spans="1:17" ht="30">
      <c r="A8" s="8">
        <v>7</v>
      </c>
      <c r="B8" s="8" t="s">
        <v>74</v>
      </c>
      <c r="C8" s="8" t="s">
        <v>75</v>
      </c>
      <c r="D8" s="8" t="s">
        <v>54</v>
      </c>
      <c r="E8" s="8" t="s">
        <v>76</v>
      </c>
      <c r="F8" s="8" t="s">
        <v>56</v>
      </c>
      <c r="G8" s="17" t="s">
        <v>15</v>
      </c>
      <c r="H8" s="6">
        <v>1</v>
      </c>
      <c r="I8" s="6">
        <v>1</v>
      </c>
      <c r="J8" s="6">
        <v>1</v>
      </c>
      <c r="K8" s="6">
        <v>1</v>
      </c>
      <c r="L8" s="6">
        <v>0.5</v>
      </c>
      <c r="M8" s="6">
        <v>1</v>
      </c>
      <c r="N8" s="6">
        <v>0.5</v>
      </c>
      <c r="O8" s="6">
        <v>0</v>
      </c>
      <c r="P8" s="8">
        <f t="shared" si="0"/>
        <v>6</v>
      </c>
      <c r="Q8" s="9">
        <f t="shared" si="1"/>
        <v>0.75</v>
      </c>
    </row>
    <row r="9" spans="1:17" ht="30">
      <c r="A9" s="6">
        <v>8</v>
      </c>
      <c r="B9" s="6" t="s">
        <v>77</v>
      </c>
      <c r="C9" s="6" t="s">
        <v>78</v>
      </c>
      <c r="D9" s="6" t="s">
        <v>66</v>
      </c>
      <c r="E9" s="6" t="s">
        <v>79</v>
      </c>
      <c r="F9" s="6" t="s">
        <v>56</v>
      </c>
      <c r="G9" s="6" t="s">
        <v>16</v>
      </c>
      <c r="H9" s="6">
        <v>1</v>
      </c>
      <c r="I9" s="6">
        <v>1</v>
      </c>
      <c r="J9" s="6">
        <v>1</v>
      </c>
      <c r="K9" s="6">
        <v>1</v>
      </c>
      <c r="L9" s="6">
        <v>0.5</v>
      </c>
      <c r="M9" s="6">
        <v>1</v>
      </c>
      <c r="N9" s="6">
        <v>0.5</v>
      </c>
      <c r="O9" s="6">
        <v>1</v>
      </c>
      <c r="P9" s="6">
        <f t="shared" si="0"/>
        <v>7</v>
      </c>
      <c r="Q9" s="7">
        <f t="shared" si="1"/>
        <v>0.875</v>
      </c>
    </row>
    <row r="10" spans="1:17" ht="30">
      <c r="A10" s="8">
        <v>9</v>
      </c>
      <c r="B10" s="8" t="s">
        <v>80</v>
      </c>
      <c r="C10" s="8" t="s">
        <v>81</v>
      </c>
      <c r="D10" s="8" t="s">
        <v>54</v>
      </c>
      <c r="E10" s="8" t="s">
        <v>82</v>
      </c>
      <c r="F10" s="8" t="s">
        <v>56</v>
      </c>
      <c r="G10" s="17" t="s">
        <v>16</v>
      </c>
      <c r="H10" s="6">
        <v>1</v>
      </c>
      <c r="I10" s="6">
        <v>1</v>
      </c>
      <c r="J10" s="6">
        <v>1</v>
      </c>
      <c r="K10" s="6">
        <v>1</v>
      </c>
      <c r="L10" s="6">
        <v>0.5</v>
      </c>
      <c r="M10" s="6">
        <v>1</v>
      </c>
      <c r="N10" s="6">
        <v>1</v>
      </c>
      <c r="O10" s="6">
        <v>1</v>
      </c>
      <c r="P10" s="8">
        <f t="shared" si="0"/>
        <v>7.5</v>
      </c>
      <c r="Q10" s="9">
        <f t="shared" si="1"/>
        <v>0.9375</v>
      </c>
    </row>
    <row r="11" spans="1:17" ht="30">
      <c r="A11" s="6">
        <v>10</v>
      </c>
      <c r="B11" s="6" t="s">
        <v>83</v>
      </c>
      <c r="C11" s="6" t="s">
        <v>84</v>
      </c>
      <c r="D11" s="6" t="s">
        <v>59</v>
      </c>
      <c r="E11" s="6" t="s">
        <v>63</v>
      </c>
      <c r="F11" s="6" t="s">
        <v>56</v>
      </c>
      <c r="G11" s="6" t="s">
        <v>15</v>
      </c>
      <c r="H11" s="6">
        <v>1</v>
      </c>
      <c r="I11" s="6">
        <v>1</v>
      </c>
      <c r="J11" s="6">
        <v>1</v>
      </c>
      <c r="K11" s="6">
        <v>1</v>
      </c>
      <c r="L11" s="6">
        <v>1</v>
      </c>
      <c r="M11" s="6">
        <v>1</v>
      </c>
      <c r="N11" s="6">
        <v>0.5</v>
      </c>
      <c r="O11" s="6">
        <v>1</v>
      </c>
      <c r="P11" s="6">
        <f t="shared" si="0"/>
        <v>7.5</v>
      </c>
      <c r="Q11" s="7">
        <f t="shared" si="1"/>
        <v>0.9375</v>
      </c>
    </row>
    <row r="12" spans="1:17" ht="30">
      <c r="A12" s="8">
        <v>11</v>
      </c>
      <c r="B12" s="8" t="s">
        <v>85</v>
      </c>
      <c r="C12" s="8" t="s">
        <v>86</v>
      </c>
      <c r="D12" s="8" t="s">
        <v>59</v>
      </c>
      <c r="E12" s="8" t="s">
        <v>87</v>
      </c>
      <c r="F12" s="8" t="s">
        <v>88</v>
      </c>
      <c r="G12" s="17" t="s">
        <v>16</v>
      </c>
      <c r="H12" s="6">
        <v>1</v>
      </c>
      <c r="I12" s="6">
        <v>1</v>
      </c>
      <c r="J12" s="6">
        <v>1</v>
      </c>
      <c r="K12" s="6">
        <v>1</v>
      </c>
      <c r="L12" s="6">
        <v>1</v>
      </c>
      <c r="M12" s="6">
        <v>1</v>
      </c>
      <c r="N12" s="6">
        <v>1</v>
      </c>
      <c r="O12" s="6">
        <v>0.5</v>
      </c>
      <c r="P12" s="8">
        <f t="shared" si="0"/>
        <v>7.5</v>
      </c>
      <c r="Q12" s="9">
        <f t="shared" si="1"/>
        <v>0.9375</v>
      </c>
    </row>
    <row r="13" spans="1:17" ht="30">
      <c r="A13" s="6">
        <v>12</v>
      </c>
      <c r="B13" s="6" t="s">
        <v>89</v>
      </c>
      <c r="C13" s="6" t="s">
        <v>90</v>
      </c>
      <c r="D13" s="6" t="s">
        <v>91</v>
      </c>
      <c r="E13" s="6" t="s">
        <v>92</v>
      </c>
      <c r="F13" s="6" t="s">
        <v>88</v>
      </c>
      <c r="G13" s="6" t="s">
        <v>16</v>
      </c>
      <c r="H13" s="6">
        <v>1</v>
      </c>
      <c r="I13" s="6">
        <v>1</v>
      </c>
      <c r="J13" s="6">
        <v>1</v>
      </c>
      <c r="K13" s="6">
        <v>1</v>
      </c>
      <c r="L13" s="6">
        <v>0.5</v>
      </c>
      <c r="M13" s="6">
        <v>1</v>
      </c>
      <c r="N13" s="6">
        <v>1</v>
      </c>
      <c r="O13" s="6">
        <v>0.5</v>
      </c>
      <c r="P13" s="6">
        <f t="shared" si="0"/>
        <v>7</v>
      </c>
      <c r="Q13" s="7">
        <f t="shared" si="1"/>
        <v>0.875</v>
      </c>
    </row>
    <row r="14" spans="1:17" ht="30">
      <c r="A14" s="8">
        <v>13</v>
      </c>
      <c r="B14" s="8" t="s">
        <v>93</v>
      </c>
      <c r="C14" s="8" t="s">
        <v>94</v>
      </c>
      <c r="D14" s="8" t="s">
        <v>59</v>
      </c>
      <c r="E14" s="8" t="s">
        <v>95</v>
      </c>
      <c r="F14" s="8" t="s">
        <v>88</v>
      </c>
      <c r="G14" s="17" t="s">
        <v>15</v>
      </c>
      <c r="H14" s="6">
        <v>1</v>
      </c>
      <c r="I14" s="6">
        <v>1</v>
      </c>
      <c r="J14" s="6">
        <v>1</v>
      </c>
      <c r="K14" s="6">
        <v>1</v>
      </c>
      <c r="L14" s="6">
        <v>0.5</v>
      </c>
      <c r="M14" s="6">
        <v>0.5</v>
      </c>
      <c r="N14" s="6">
        <v>0.5</v>
      </c>
      <c r="O14" s="6">
        <v>0</v>
      </c>
      <c r="P14" s="8">
        <f t="shared" si="0"/>
        <v>5.5</v>
      </c>
      <c r="Q14" s="9">
        <f t="shared" si="1"/>
        <v>0.6875</v>
      </c>
    </row>
    <row r="15" spans="1:17" ht="30">
      <c r="A15" s="6">
        <v>14</v>
      </c>
      <c r="B15" s="6" t="s">
        <v>96</v>
      </c>
      <c r="C15" s="6" t="s">
        <v>97</v>
      </c>
      <c r="D15" s="6" t="s">
        <v>59</v>
      </c>
      <c r="E15" s="6" t="s">
        <v>98</v>
      </c>
      <c r="F15" s="6" t="s">
        <v>88</v>
      </c>
      <c r="G15" s="6" t="s">
        <v>15</v>
      </c>
      <c r="H15" s="6">
        <v>1</v>
      </c>
      <c r="I15" s="6">
        <v>1</v>
      </c>
      <c r="J15" s="6">
        <v>1</v>
      </c>
      <c r="K15" s="6">
        <v>0.5</v>
      </c>
      <c r="L15" s="6">
        <v>0.5</v>
      </c>
      <c r="M15" s="6">
        <v>1</v>
      </c>
      <c r="N15" s="6">
        <v>0.5</v>
      </c>
      <c r="O15" s="6">
        <v>1</v>
      </c>
      <c r="P15" s="6">
        <f t="shared" si="0"/>
        <v>6.5</v>
      </c>
      <c r="Q15" s="7">
        <f t="shared" si="1"/>
        <v>0.8125</v>
      </c>
    </row>
    <row r="16" spans="1:17" ht="30">
      <c r="A16" s="8">
        <v>15</v>
      </c>
      <c r="B16" s="8" t="s">
        <v>99</v>
      </c>
      <c r="C16" s="8" t="s">
        <v>100</v>
      </c>
      <c r="D16" s="8" t="s">
        <v>59</v>
      </c>
      <c r="E16" s="8" t="s">
        <v>101</v>
      </c>
      <c r="F16" s="8" t="s">
        <v>88</v>
      </c>
      <c r="G16" s="17" t="s">
        <v>16</v>
      </c>
      <c r="H16" s="6">
        <v>1</v>
      </c>
      <c r="I16" s="6">
        <v>1</v>
      </c>
      <c r="J16" s="6">
        <v>1</v>
      </c>
      <c r="K16" s="6">
        <v>1</v>
      </c>
      <c r="L16" s="6">
        <v>1</v>
      </c>
      <c r="M16" s="6">
        <v>1</v>
      </c>
      <c r="N16" s="6">
        <v>0.5</v>
      </c>
      <c r="O16" s="6">
        <v>0.5</v>
      </c>
      <c r="P16" s="8">
        <f t="shared" si="0"/>
        <v>7</v>
      </c>
      <c r="Q16" s="9">
        <f t="shared" si="1"/>
        <v>0.875</v>
      </c>
    </row>
    <row r="17" spans="1:17" ht="45">
      <c r="A17" s="6">
        <v>16</v>
      </c>
      <c r="B17" s="6" t="s">
        <v>102</v>
      </c>
      <c r="C17" s="6" t="s">
        <v>103</v>
      </c>
      <c r="D17" s="6" t="s">
        <v>91</v>
      </c>
      <c r="E17" s="6" t="s">
        <v>104</v>
      </c>
      <c r="F17" s="6" t="s">
        <v>88</v>
      </c>
      <c r="G17" s="6" t="s">
        <v>15</v>
      </c>
      <c r="H17" s="6">
        <v>1</v>
      </c>
      <c r="I17" s="6">
        <v>1</v>
      </c>
      <c r="J17" s="6">
        <v>1</v>
      </c>
      <c r="K17" s="6">
        <v>1</v>
      </c>
      <c r="L17" s="6">
        <v>1</v>
      </c>
      <c r="M17" s="6">
        <v>1</v>
      </c>
      <c r="N17" s="6">
        <v>0.5</v>
      </c>
      <c r="O17" s="6">
        <v>1</v>
      </c>
      <c r="P17" s="6">
        <f t="shared" si="0"/>
        <v>7.5</v>
      </c>
      <c r="Q17" s="7">
        <f t="shared" si="1"/>
        <v>0.9375</v>
      </c>
    </row>
    <row r="18" spans="1:17" ht="45">
      <c r="A18" s="8">
        <v>17</v>
      </c>
      <c r="B18" s="8" t="s">
        <v>105</v>
      </c>
      <c r="C18" s="8" t="s">
        <v>106</v>
      </c>
      <c r="D18" s="8" t="s">
        <v>59</v>
      </c>
      <c r="E18" s="8" t="s">
        <v>107</v>
      </c>
      <c r="F18" s="8" t="s">
        <v>88</v>
      </c>
      <c r="G18" s="17" t="s">
        <v>15</v>
      </c>
      <c r="H18" s="6">
        <v>1</v>
      </c>
      <c r="I18" s="6">
        <v>1</v>
      </c>
      <c r="J18" s="6">
        <v>1</v>
      </c>
      <c r="K18" s="6">
        <v>1</v>
      </c>
      <c r="L18" s="6">
        <v>0.5</v>
      </c>
      <c r="M18" s="6">
        <v>1</v>
      </c>
      <c r="N18" s="6">
        <v>0.5</v>
      </c>
      <c r="O18" s="6">
        <v>1</v>
      </c>
      <c r="P18" s="8">
        <f t="shared" si="0"/>
        <v>7</v>
      </c>
      <c r="Q18" s="9">
        <f t="shared" si="1"/>
        <v>0.875</v>
      </c>
    </row>
    <row r="19" spans="1:17" ht="45">
      <c r="A19" s="6">
        <v>18</v>
      </c>
      <c r="B19" s="6" t="s">
        <v>108</v>
      </c>
      <c r="C19" s="6" t="s">
        <v>109</v>
      </c>
      <c r="D19" s="6" t="s">
        <v>59</v>
      </c>
      <c r="E19" s="6" t="s">
        <v>110</v>
      </c>
      <c r="F19" s="6" t="s">
        <v>88</v>
      </c>
      <c r="G19" s="6" t="s">
        <v>15</v>
      </c>
      <c r="H19" s="6">
        <v>1</v>
      </c>
      <c r="I19" s="6">
        <v>1</v>
      </c>
      <c r="J19" s="6">
        <v>1</v>
      </c>
      <c r="K19" s="6">
        <v>1</v>
      </c>
      <c r="L19" s="6">
        <v>0.5</v>
      </c>
      <c r="M19" s="6">
        <v>1</v>
      </c>
      <c r="N19" s="6">
        <v>0.5</v>
      </c>
      <c r="O19" s="6">
        <v>1</v>
      </c>
      <c r="P19" s="6">
        <f t="shared" si="0"/>
        <v>7</v>
      </c>
      <c r="Q19" s="7">
        <f t="shared" si="1"/>
        <v>0.875</v>
      </c>
    </row>
    <row r="20" spans="1:17" ht="30">
      <c r="A20" s="8">
        <v>19</v>
      </c>
      <c r="B20" s="8" t="s">
        <v>111</v>
      </c>
      <c r="C20" s="8" t="s">
        <v>112</v>
      </c>
      <c r="D20" s="8" t="s">
        <v>91</v>
      </c>
      <c r="E20" s="8" t="s">
        <v>113</v>
      </c>
      <c r="F20" s="8" t="s">
        <v>88</v>
      </c>
      <c r="G20" s="17" t="s">
        <v>15</v>
      </c>
      <c r="H20" s="6">
        <v>1</v>
      </c>
      <c r="I20" s="6">
        <v>1</v>
      </c>
      <c r="J20" s="6">
        <v>1</v>
      </c>
      <c r="K20" s="6">
        <v>1</v>
      </c>
      <c r="L20" s="6">
        <v>1</v>
      </c>
      <c r="M20" s="6">
        <v>1</v>
      </c>
      <c r="N20" s="6">
        <v>1</v>
      </c>
      <c r="O20" s="6">
        <v>1</v>
      </c>
      <c r="P20" s="8">
        <f t="shared" si="0"/>
        <v>8</v>
      </c>
      <c r="Q20" s="9">
        <f t="shared" si="1"/>
        <v>1</v>
      </c>
    </row>
    <row r="21" spans="1:17" ht="45">
      <c r="A21" s="6">
        <v>20</v>
      </c>
      <c r="B21" s="6" t="s">
        <v>114</v>
      </c>
      <c r="C21" s="6" t="s">
        <v>115</v>
      </c>
      <c r="D21" s="6" t="s">
        <v>59</v>
      </c>
      <c r="E21" s="6" t="s">
        <v>116</v>
      </c>
      <c r="F21" s="6" t="s">
        <v>88</v>
      </c>
      <c r="G21" s="6" t="s">
        <v>15</v>
      </c>
      <c r="H21" s="6">
        <v>1</v>
      </c>
      <c r="I21" s="6">
        <v>1</v>
      </c>
      <c r="J21" s="6">
        <v>1</v>
      </c>
      <c r="K21" s="6">
        <v>1</v>
      </c>
      <c r="L21" s="6">
        <v>0.5</v>
      </c>
      <c r="M21" s="6">
        <v>0.5</v>
      </c>
      <c r="N21" s="6">
        <v>0.5</v>
      </c>
      <c r="O21" s="6">
        <v>0.5</v>
      </c>
      <c r="P21" s="6">
        <f t="shared" si="0"/>
        <v>6</v>
      </c>
      <c r="Q21" s="7">
        <f t="shared" si="1"/>
        <v>0.75</v>
      </c>
    </row>
    <row r="22" spans="1:17" ht="30">
      <c r="A22" s="8">
        <v>21</v>
      </c>
      <c r="B22" s="8" t="s">
        <v>117</v>
      </c>
      <c r="C22" s="8" t="s">
        <v>118</v>
      </c>
      <c r="D22" s="8" t="s">
        <v>59</v>
      </c>
      <c r="E22" s="8" t="s">
        <v>119</v>
      </c>
      <c r="F22" s="8" t="s">
        <v>88</v>
      </c>
      <c r="G22" s="17" t="s">
        <v>16</v>
      </c>
      <c r="H22" s="6">
        <v>1</v>
      </c>
      <c r="I22" s="6">
        <v>1</v>
      </c>
      <c r="J22" s="6">
        <v>1</v>
      </c>
      <c r="K22" s="6">
        <v>1</v>
      </c>
      <c r="L22" s="6">
        <v>0.5</v>
      </c>
      <c r="M22" s="6">
        <v>1</v>
      </c>
      <c r="N22" s="6">
        <v>1</v>
      </c>
      <c r="O22" s="6">
        <v>1</v>
      </c>
      <c r="P22" s="8">
        <f t="shared" si="0"/>
        <v>7.5</v>
      </c>
      <c r="Q22" s="9">
        <f t="shared" si="1"/>
        <v>0.9375</v>
      </c>
    </row>
    <row r="23" spans="1:17" ht="30">
      <c r="A23" s="6">
        <v>22</v>
      </c>
      <c r="B23" s="6" t="s">
        <v>120</v>
      </c>
      <c r="C23" s="6" t="s">
        <v>121</v>
      </c>
      <c r="D23" s="6" t="s">
        <v>59</v>
      </c>
      <c r="E23" s="6" t="s">
        <v>122</v>
      </c>
      <c r="F23" s="6" t="s">
        <v>88</v>
      </c>
      <c r="G23" s="6" t="s">
        <v>15</v>
      </c>
      <c r="H23" s="6">
        <v>1</v>
      </c>
      <c r="I23" s="6">
        <v>1</v>
      </c>
      <c r="J23" s="6">
        <v>1</v>
      </c>
      <c r="K23" s="6">
        <v>1</v>
      </c>
      <c r="L23" s="6">
        <v>0.5</v>
      </c>
      <c r="M23" s="6">
        <v>1</v>
      </c>
      <c r="N23" s="6">
        <v>0.5</v>
      </c>
      <c r="O23" s="6">
        <v>0.5</v>
      </c>
      <c r="P23" s="6">
        <f t="shared" si="0"/>
        <v>6.5</v>
      </c>
      <c r="Q23" s="7">
        <f t="shared" si="1"/>
        <v>0.8125</v>
      </c>
    </row>
    <row r="24" spans="1:17" ht="30">
      <c r="A24" s="8">
        <v>23</v>
      </c>
      <c r="B24" s="8" t="s">
        <v>123</v>
      </c>
      <c r="C24" s="8" t="s">
        <v>124</v>
      </c>
      <c r="D24" s="8" t="s">
        <v>59</v>
      </c>
      <c r="E24" s="8" t="s">
        <v>125</v>
      </c>
      <c r="F24" s="8" t="s">
        <v>88</v>
      </c>
      <c r="G24" s="17" t="s">
        <v>15</v>
      </c>
      <c r="H24" s="6">
        <v>1</v>
      </c>
      <c r="I24" s="6">
        <v>1</v>
      </c>
      <c r="J24" s="6">
        <v>1</v>
      </c>
      <c r="K24" s="6">
        <v>1</v>
      </c>
      <c r="L24" s="6">
        <v>0.5</v>
      </c>
      <c r="M24" s="6">
        <v>1</v>
      </c>
      <c r="N24" s="6">
        <v>0.5</v>
      </c>
      <c r="O24" s="6">
        <v>1</v>
      </c>
      <c r="P24" s="8">
        <f t="shared" si="0"/>
        <v>7</v>
      </c>
      <c r="Q24" s="9">
        <f t="shared" si="1"/>
        <v>0.875</v>
      </c>
    </row>
    <row r="25" spans="1:17" ht="30">
      <c r="A25" s="6">
        <v>24</v>
      </c>
      <c r="B25" s="6" t="s">
        <v>126</v>
      </c>
      <c r="C25" s="6" t="s">
        <v>127</v>
      </c>
      <c r="D25" s="6" t="s">
        <v>91</v>
      </c>
      <c r="E25" s="6" t="s">
        <v>128</v>
      </c>
      <c r="F25" s="6" t="s">
        <v>88</v>
      </c>
      <c r="G25" s="6" t="s">
        <v>16</v>
      </c>
      <c r="H25" s="6">
        <v>1</v>
      </c>
      <c r="I25" s="6">
        <v>1</v>
      </c>
      <c r="J25" s="6">
        <v>1</v>
      </c>
      <c r="K25" s="6">
        <v>1</v>
      </c>
      <c r="L25" s="6">
        <v>1</v>
      </c>
      <c r="M25" s="6">
        <v>1</v>
      </c>
      <c r="N25" s="6">
        <v>0.5</v>
      </c>
      <c r="O25" s="6">
        <v>1</v>
      </c>
      <c r="P25" s="6">
        <f t="shared" si="0"/>
        <v>7.5</v>
      </c>
      <c r="Q25" s="7">
        <f t="shared" si="1"/>
        <v>0.9375</v>
      </c>
    </row>
    <row r="26" spans="1:17" ht="45">
      <c r="A26" s="8">
        <v>25</v>
      </c>
      <c r="B26" s="8" t="s">
        <v>129</v>
      </c>
      <c r="C26" s="8" t="s">
        <v>130</v>
      </c>
      <c r="D26" s="8" t="s">
        <v>91</v>
      </c>
      <c r="E26" s="8" t="s">
        <v>131</v>
      </c>
      <c r="F26" s="8" t="s">
        <v>88</v>
      </c>
      <c r="G26" s="17" t="s">
        <v>16</v>
      </c>
      <c r="H26" s="6">
        <v>1</v>
      </c>
      <c r="I26" s="6">
        <v>1</v>
      </c>
      <c r="J26" s="6">
        <v>1</v>
      </c>
      <c r="K26" s="6">
        <v>1</v>
      </c>
      <c r="L26" s="6">
        <v>1</v>
      </c>
      <c r="M26" s="6">
        <v>1</v>
      </c>
      <c r="N26" s="6">
        <v>0.5</v>
      </c>
      <c r="O26" s="6">
        <v>1</v>
      </c>
      <c r="P26" s="8">
        <f t="shared" si="0"/>
        <v>7.5</v>
      </c>
      <c r="Q26" s="9">
        <f t="shared" si="1"/>
        <v>0.9375</v>
      </c>
    </row>
    <row r="27" spans="1:17" ht="45">
      <c r="A27" s="6">
        <v>26</v>
      </c>
      <c r="B27" s="6" t="s">
        <v>132</v>
      </c>
      <c r="C27" s="6" t="s">
        <v>133</v>
      </c>
      <c r="D27" s="6" t="s">
        <v>91</v>
      </c>
      <c r="E27" s="6" t="s">
        <v>122</v>
      </c>
      <c r="F27" s="6" t="s">
        <v>88</v>
      </c>
      <c r="G27" s="6" t="s">
        <v>16</v>
      </c>
      <c r="H27" s="6">
        <v>1</v>
      </c>
      <c r="I27" s="6">
        <v>1</v>
      </c>
      <c r="J27" s="6">
        <v>1</v>
      </c>
      <c r="K27" s="6">
        <v>1</v>
      </c>
      <c r="L27" s="6">
        <v>1</v>
      </c>
      <c r="M27" s="6">
        <v>1</v>
      </c>
      <c r="N27" s="6">
        <v>0.5</v>
      </c>
      <c r="O27" s="6">
        <v>1</v>
      </c>
      <c r="P27" s="6">
        <f t="shared" si="0"/>
        <v>7.5</v>
      </c>
      <c r="Q27" s="7">
        <f t="shared" si="1"/>
        <v>0.9375</v>
      </c>
    </row>
    <row r="28" spans="1:17" ht="30">
      <c r="A28" s="8">
        <v>27</v>
      </c>
      <c r="B28" s="8" t="s">
        <v>134</v>
      </c>
      <c r="C28" s="8" t="s">
        <v>135</v>
      </c>
      <c r="D28" s="8" t="s">
        <v>59</v>
      </c>
      <c r="E28" s="8" t="s">
        <v>136</v>
      </c>
      <c r="F28" s="8" t="s">
        <v>88</v>
      </c>
      <c r="G28" s="17" t="s">
        <v>15</v>
      </c>
      <c r="H28" s="6">
        <v>1</v>
      </c>
      <c r="I28" s="6">
        <v>1</v>
      </c>
      <c r="J28" s="6">
        <v>1</v>
      </c>
      <c r="K28" s="6">
        <v>1</v>
      </c>
      <c r="L28" s="6">
        <v>1</v>
      </c>
      <c r="M28" s="6">
        <v>1</v>
      </c>
      <c r="N28" s="6">
        <v>1</v>
      </c>
      <c r="O28" s="6">
        <v>0.5</v>
      </c>
      <c r="P28" s="8">
        <f t="shared" si="0"/>
        <v>7.5</v>
      </c>
      <c r="Q28" s="9">
        <f t="shared" si="1"/>
        <v>0.9375</v>
      </c>
    </row>
    <row r="29" spans="1:17" ht="30">
      <c r="A29" s="6">
        <v>28</v>
      </c>
      <c r="B29" s="6" t="s">
        <v>137</v>
      </c>
      <c r="C29" s="6" t="s">
        <v>138</v>
      </c>
      <c r="D29" s="6" t="s">
        <v>91</v>
      </c>
      <c r="E29" s="6" t="s">
        <v>139</v>
      </c>
      <c r="F29" s="6" t="s">
        <v>88</v>
      </c>
      <c r="G29" s="6" t="s">
        <v>16</v>
      </c>
      <c r="H29" s="6">
        <v>1</v>
      </c>
      <c r="I29" s="6">
        <v>1</v>
      </c>
      <c r="J29" s="6">
        <v>1</v>
      </c>
      <c r="K29" s="6">
        <v>1</v>
      </c>
      <c r="L29" s="6">
        <v>1</v>
      </c>
      <c r="M29" s="6">
        <v>1</v>
      </c>
      <c r="N29" s="6">
        <v>1</v>
      </c>
      <c r="O29" s="6">
        <v>0</v>
      </c>
      <c r="P29" s="6">
        <f t="shared" si="0"/>
        <v>7</v>
      </c>
      <c r="Q29" s="7">
        <f t="shared" si="1"/>
        <v>0.875</v>
      </c>
    </row>
    <row r="30" spans="1:17" ht="30">
      <c r="A30" s="8">
        <v>29</v>
      </c>
      <c r="B30" s="8" t="s">
        <v>140</v>
      </c>
      <c r="C30" s="8" t="s">
        <v>141</v>
      </c>
      <c r="D30" s="8" t="s">
        <v>59</v>
      </c>
      <c r="E30" s="8" t="s">
        <v>142</v>
      </c>
      <c r="F30" s="8" t="s">
        <v>88</v>
      </c>
      <c r="G30" s="17" t="s">
        <v>15</v>
      </c>
      <c r="H30" s="6">
        <v>1</v>
      </c>
      <c r="I30" s="6">
        <v>1</v>
      </c>
      <c r="J30" s="6">
        <v>1</v>
      </c>
      <c r="K30" s="6">
        <v>1</v>
      </c>
      <c r="L30" s="6">
        <v>1</v>
      </c>
      <c r="M30" s="6">
        <v>1</v>
      </c>
      <c r="N30" s="6">
        <v>1</v>
      </c>
      <c r="O30" s="6">
        <v>0</v>
      </c>
      <c r="P30" s="8">
        <f t="shared" si="0"/>
        <v>7</v>
      </c>
      <c r="Q30" s="9">
        <f t="shared" si="1"/>
        <v>0.875</v>
      </c>
    </row>
    <row r="31" spans="1:17" ht="45">
      <c r="A31" s="6">
        <v>30</v>
      </c>
      <c r="B31" s="6" t="s">
        <v>143</v>
      </c>
      <c r="C31" s="6" t="s">
        <v>144</v>
      </c>
      <c r="D31" s="6" t="s">
        <v>91</v>
      </c>
      <c r="E31" s="6" t="s">
        <v>145</v>
      </c>
      <c r="F31" s="6" t="s">
        <v>88</v>
      </c>
      <c r="G31" s="6" t="s">
        <v>16</v>
      </c>
      <c r="H31" s="6">
        <v>1</v>
      </c>
      <c r="I31" s="6">
        <v>1</v>
      </c>
      <c r="J31" s="6">
        <v>1</v>
      </c>
      <c r="K31" s="6">
        <v>1</v>
      </c>
      <c r="L31" s="6">
        <v>1</v>
      </c>
      <c r="M31" s="6">
        <v>1</v>
      </c>
      <c r="N31" s="6">
        <v>0.5</v>
      </c>
      <c r="O31" s="6">
        <v>0.5</v>
      </c>
      <c r="P31" s="6">
        <f t="shared" si="0"/>
        <v>7</v>
      </c>
      <c r="Q31" s="7">
        <f t="shared" si="1"/>
        <v>0.875</v>
      </c>
    </row>
    <row r="32" spans="1:17" ht="45">
      <c r="A32" s="8">
        <v>31</v>
      </c>
      <c r="B32" s="8" t="s">
        <v>146</v>
      </c>
      <c r="C32" s="8" t="s">
        <v>147</v>
      </c>
      <c r="D32" s="8" t="s">
        <v>59</v>
      </c>
      <c r="E32" s="8" t="s">
        <v>148</v>
      </c>
      <c r="F32" s="8" t="s">
        <v>88</v>
      </c>
      <c r="G32" s="17" t="s">
        <v>16</v>
      </c>
      <c r="H32" s="6">
        <v>1</v>
      </c>
      <c r="I32" s="6">
        <v>1</v>
      </c>
      <c r="J32" s="6">
        <v>1</v>
      </c>
      <c r="K32" s="6">
        <v>1</v>
      </c>
      <c r="L32" s="6">
        <v>0.5</v>
      </c>
      <c r="M32" s="6">
        <v>1</v>
      </c>
      <c r="N32" s="6">
        <v>0.5</v>
      </c>
      <c r="O32" s="6">
        <v>0</v>
      </c>
      <c r="P32" s="8">
        <f t="shared" si="0"/>
        <v>6</v>
      </c>
      <c r="Q32" s="9">
        <f t="shared" si="1"/>
        <v>0.75</v>
      </c>
    </row>
    <row r="33" spans="1:17" ht="30">
      <c r="A33" s="6">
        <v>32</v>
      </c>
      <c r="B33" s="6" t="s">
        <v>149</v>
      </c>
      <c r="C33" s="6" t="s">
        <v>150</v>
      </c>
      <c r="D33" s="6" t="s">
        <v>91</v>
      </c>
      <c r="E33" s="6" t="s">
        <v>151</v>
      </c>
      <c r="F33" s="6" t="s">
        <v>88</v>
      </c>
      <c r="G33" s="6" t="s">
        <v>15</v>
      </c>
      <c r="H33" s="6">
        <v>1</v>
      </c>
      <c r="I33" s="6">
        <v>1</v>
      </c>
      <c r="J33" s="6">
        <v>1</v>
      </c>
      <c r="K33" s="6">
        <v>1</v>
      </c>
      <c r="L33" s="6">
        <v>1</v>
      </c>
      <c r="M33" s="6">
        <v>1</v>
      </c>
      <c r="N33" s="6">
        <v>0.5</v>
      </c>
      <c r="O33" s="6">
        <v>0.5</v>
      </c>
      <c r="P33" s="6">
        <f t="shared" si="0"/>
        <v>7</v>
      </c>
      <c r="Q33" s="7">
        <f t="shared" si="1"/>
        <v>0.875</v>
      </c>
    </row>
    <row r="34" spans="1:17" ht="45">
      <c r="A34" s="8">
        <v>33</v>
      </c>
      <c r="B34" s="8" t="s">
        <v>152</v>
      </c>
      <c r="C34" s="8" t="s">
        <v>153</v>
      </c>
      <c r="D34" s="8" t="s">
        <v>59</v>
      </c>
      <c r="E34" s="8" t="s">
        <v>154</v>
      </c>
      <c r="F34" s="8" t="s">
        <v>88</v>
      </c>
      <c r="G34" s="17" t="s">
        <v>15</v>
      </c>
      <c r="H34" s="6">
        <v>1</v>
      </c>
      <c r="I34" s="6">
        <v>1</v>
      </c>
      <c r="J34" s="6">
        <v>1</v>
      </c>
      <c r="K34" s="6">
        <v>1</v>
      </c>
      <c r="L34" s="6">
        <v>0.5</v>
      </c>
      <c r="M34" s="6">
        <v>1</v>
      </c>
      <c r="N34" s="6">
        <v>0.5</v>
      </c>
      <c r="O34" s="6">
        <v>0.5</v>
      </c>
      <c r="P34" s="8">
        <f t="shared" ref="P34:P65" si="2">SUM(H34:O34)</f>
        <v>6.5</v>
      </c>
      <c r="Q34" s="9">
        <f t="shared" ref="Q34:Q65" si="3">P34/8</f>
        <v>0.8125</v>
      </c>
    </row>
    <row r="35" spans="1:17" ht="45">
      <c r="A35" s="6">
        <v>34</v>
      </c>
      <c r="B35" s="6" t="s">
        <v>155</v>
      </c>
      <c r="C35" s="6" t="s">
        <v>156</v>
      </c>
      <c r="D35" s="6" t="s">
        <v>91</v>
      </c>
      <c r="E35" s="6" t="s">
        <v>157</v>
      </c>
      <c r="F35" s="6" t="s">
        <v>88</v>
      </c>
      <c r="G35" s="6" t="s">
        <v>15</v>
      </c>
      <c r="H35" s="6">
        <v>1</v>
      </c>
      <c r="I35" s="6">
        <v>1</v>
      </c>
      <c r="J35" s="6">
        <v>1</v>
      </c>
      <c r="K35" s="6">
        <v>1</v>
      </c>
      <c r="L35" s="6">
        <v>1</v>
      </c>
      <c r="M35" s="6">
        <v>1</v>
      </c>
      <c r="N35" s="6">
        <v>1</v>
      </c>
      <c r="O35" s="6">
        <v>1</v>
      </c>
      <c r="P35" s="6">
        <f t="shared" si="2"/>
        <v>8</v>
      </c>
      <c r="Q35" s="7">
        <f t="shared" si="3"/>
        <v>1</v>
      </c>
    </row>
    <row r="36" spans="1:17" ht="30">
      <c r="A36" s="8">
        <v>35</v>
      </c>
      <c r="B36" s="8" t="s">
        <v>158</v>
      </c>
      <c r="C36" s="8" t="s">
        <v>159</v>
      </c>
      <c r="D36" s="8" t="s">
        <v>59</v>
      </c>
      <c r="E36" s="8" t="s">
        <v>160</v>
      </c>
      <c r="F36" s="8" t="s">
        <v>88</v>
      </c>
      <c r="G36" s="17" t="s">
        <v>15</v>
      </c>
      <c r="H36" s="6">
        <v>1</v>
      </c>
      <c r="I36" s="6">
        <v>1</v>
      </c>
      <c r="J36" s="6">
        <v>1</v>
      </c>
      <c r="K36" s="6">
        <v>1</v>
      </c>
      <c r="L36" s="6">
        <v>0</v>
      </c>
      <c r="M36" s="6">
        <v>1</v>
      </c>
      <c r="N36" s="6">
        <v>0.5</v>
      </c>
      <c r="O36" s="6">
        <v>1</v>
      </c>
      <c r="P36" s="8">
        <f t="shared" si="2"/>
        <v>6.5</v>
      </c>
      <c r="Q36" s="9">
        <f t="shared" si="3"/>
        <v>0.8125</v>
      </c>
    </row>
    <row r="37" spans="1:17" ht="30">
      <c r="A37" s="6">
        <v>36</v>
      </c>
      <c r="B37" s="6" t="s">
        <v>161</v>
      </c>
      <c r="C37" s="6" t="s">
        <v>162</v>
      </c>
      <c r="D37" s="6" t="s">
        <v>59</v>
      </c>
      <c r="E37" s="6" t="s">
        <v>163</v>
      </c>
      <c r="F37" s="6" t="s">
        <v>88</v>
      </c>
      <c r="G37" s="6" t="s">
        <v>15</v>
      </c>
      <c r="H37" s="6">
        <v>1</v>
      </c>
      <c r="I37" s="6">
        <v>1</v>
      </c>
      <c r="J37" s="6">
        <v>1</v>
      </c>
      <c r="K37" s="6">
        <v>0.5</v>
      </c>
      <c r="L37" s="6">
        <v>0</v>
      </c>
      <c r="M37" s="6">
        <v>0.5</v>
      </c>
      <c r="N37" s="6">
        <v>0.5</v>
      </c>
      <c r="O37" s="6">
        <v>0.5</v>
      </c>
      <c r="P37" s="6">
        <f t="shared" si="2"/>
        <v>5</v>
      </c>
      <c r="Q37" s="7">
        <f t="shared" si="3"/>
        <v>0.625</v>
      </c>
    </row>
    <row r="38" spans="1:17" ht="30">
      <c r="A38" s="8">
        <v>37</v>
      </c>
      <c r="B38" s="8" t="s">
        <v>164</v>
      </c>
      <c r="C38" s="8" t="s">
        <v>165</v>
      </c>
      <c r="D38" s="8" t="s">
        <v>59</v>
      </c>
      <c r="E38" s="8" t="s">
        <v>166</v>
      </c>
      <c r="F38" s="8" t="s">
        <v>88</v>
      </c>
      <c r="G38" s="17" t="s">
        <v>16</v>
      </c>
      <c r="H38" s="6">
        <v>1</v>
      </c>
      <c r="I38" s="6">
        <v>1</v>
      </c>
      <c r="J38" s="6">
        <v>1</v>
      </c>
      <c r="K38" s="6">
        <v>1</v>
      </c>
      <c r="L38" s="6">
        <v>1</v>
      </c>
      <c r="M38" s="6">
        <v>1</v>
      </c>
      <c r="N38" s="6">
        <v>1</v>
      </c>
      <c r="O38" s="6">
        <v>0.5</v>
      </c>
      <c r="P38" s="8">
        <f t="shared" si="2"/>
        <v>7.5</v>
      </c>
      <c r="Q38" s="9">
        <f t="shared" si="3"/>
        <v>0.9375</v>
      </c>
    </row>
    <row r="39" spans="1:17" ht="30">
      <c r="A39" s="6">
        <v>38</v>
      </c>
      <c r="B39" s="6" t="s">
        <v>167</v>
      </c>
      <c r="C39" s="6" t="s">
        <v>168</v>
      </c>
      <c r="D39" s="6" t="s">
        <v>59</v>
      </c>
      <c r="E39" s="6" t="s">
        <v>169</v>
      </c>
      <c r="F39" s="6" t="s">
        <v>88</v>
      </c>
      <c r="G39" s="6" t="s">
        <v>15</v>
      </c>
      <c r="H39" s="6">
        <v>1</v>
      </c>
      <c r="I39" s="6">
        <v>1</v>
      </c>
      <c r="J39" s="6">
        <v>1</v>
      </c>
      <c r="K39" s="6">
        <v>1</v>
      </c>
      <c r="L39" s="6">
        <v>1</v>
      </c>
      <c r="M39" s="6">
        <v>1</v>
      </c>
      <c r="N39" s="6">
        <v>0.5</v>
      </c>
      <c r="O39" s="6">
        <v>0.5</v>
      </c>
      <c r="P39" s="6">
        <f t="shared" si="2"/>
        <v>7</v>
      </c>
      <c r="Q39" s="7">
        <f t="shared" si="3"/>
        <v>0.875</v>
      </c>
    </row>
    <row r="40" spans="1:17" ht="45">
      <c r="A40" s="8">
        <v>39</v>
      </c>
      <c r="B40" s="8" t="s">
        <v>170</v>
      </c>
      <c r="C40" s="8" t="s">
        <v>171</v>
      </c>
      <c r="D40" s="8" t="s">
        <v>59</v>
      </c>
      <c r="E40" s="8" t="s">
        <v>172</v>
      </c>
      <c r="F40" s="8" t="s">
        <v>88</v>
      </c>
      <c r="G40" s="17" t="s">
        <v>15</v>
      </c>
      <c r="H40" s="6">
        <v>1</v>
      </c>
      <c r="I40" s="6">
        <v>1</v>
      </c>
      <c r="J40" s="6">
        <v>1</v>
      </c>
      <c r="K40" s="6">
        <v>1</v>
      </c>
      <c r="L40" s="6">
        <v>0.5</v>
      </c>
      <c r="M40" s="6">
        <v>1</v>
      </c>
      <c r="N40" s="6">
        <v>0.5</v>
      </c>
      <c r="O40" s="6">
        <v>0.5</v>
      </c>
      <c r="P40" s="8">
        <f t="shared" si="2"/>
        <v>6.5</v>
      </c>
      <c r="Q40" s="9">
        <f t="shared" si="3"/>
        <v>0.8125</v>
      </c>
    </row>
    <row r="41" spans="1:17" ht="45">
      <c r="A41" s="6">
        <v>40</v>
      </c>
      <c r="B41" s="6" t="s">
        <v>173</v>
      </c>
      <c r="C41" s="6" t="s">
        <v>174</v>
      </c>
      <c r="D41" s="6" t="s">
        <v>59</v>
      </c>
      <c r="E41" s="6" t="s">
        <v>175</v>
      </c>
      <c r="F41" s="6" t="s">
        <v>88</v>
      </c>
      <c r="G41" s="6" t="s">
        <v>15</v>
      </c>
      <c r="H41" s="6">
        <v>1</v>
      </c>
      <c r="I41" s="6">
        <v>1</v>
      </c>
      <c r="J41" s="6">
        <v>1</v>
      </c>
      <c r="K41" s="6">
        <v>1</v>
      </c>
      <c r="L41" s="6">
        <v>0.5</v>
      </c>
      <c r="M41" s="6">
        <v>1</v>
      </c>
      <c r="N41" s="6">
        <v>0.5</v>
      </c>
      <c r="O41" s="6">
        <v>1</v>
      </c>
      <c r="P41" s="6">
        <f t="shared" si="2"/>
        <v>7</v>
      </c>
      <c r="Q41" s="7">
        <f t="shared" si="3"/>
        <v>0.875</v>
      </c>
    </row>
    <row r="42" spans="1:17" ht="30">
      <c r="A42" s="8">
        <v>41</v>
      </c>
      <c r="B42" s="8" t="s">
        <v>176</v>
      </c>
      <c r="C42" s="8" t="s">
        <v>177</v>
      </c>
      <c r="D42" s="8" t="s">
        <v>59</v>
      </c>
      <c r="E42" s="8" t="s">
        <v>122</v>
      </c>
      <c r="F42" s="8" t="s">
        <v>88</v>
      </c>
      <c r="G42" s="17" t="s">
        <v>15</v>
      </c>
      <c r="H42" s="6">
        <v>1</v>
      </c>
      <c r="I42" s="6">
        <v>1</v>
      </c>
      <c r="J42" s="6">
        <v>1</v>
      </c>
      <c r="K42" s="6">
        <v>1</v>
      </c>
      <c r="L42" s="6">
        <v>0</v>
      </c>
      <c r="M42" s="6">
        <v>1</v>
      </c>
      <c r="N42" s="6">
        <v>0.5</v>
      </c>
      <c r="O42" s="6">
        <v>1</v>
      </c>
      <c r="P42" s="8">
        <f t="shared" si="2"/>
        <v>6.5</v>
      </c>
      <c r="Q42" s="9">
        <f t="shared" si="3"/>
        <v>0.8125</v>
      </c>
    </row>
    <row r="43" spans="1:17" ht="45">
      <c r="A43" s="6">
        <v>42</v>
      </c>
      <c r="B43" s="6" t="s">
        <v>178</v>
      </c>
      <c r="C43" s="6" t="s">
        <v>179</v>
      </c>
      <c r="D43" s="6" t="s">
        <v>59</v>
      </c>
      <c r="E43" s="6" t="s">
        <v>180</v>
      </c>
      <c r="F43" s="6" t="s">
        <v>88</v>
      </c>
      <c r="G43" s="6" t="s">
        <v>15</v>
      </c>
      <c r="H43" s="6">
        <v>1</v>
      </c>
      <c r="I43" s="6">
        <v>1</v>
      </c>
      <c r="J43" s="6">
        <v>1</v>
      </c>
      <c r="K43" s="6">
        <v>1</v>
      </c>
      <c r="L43" s="6">
        <v>1</v>
      </c>
      <c r="M43" s="6">
        <v>1</v>
      </c>
      <c r="N43" s="6">
        <v>1</v>
      </c>
      <c r="O43" s="6">
        <v>1</v>
      </c>
      <c r="P43" s="6">
        <f t="shared" si="2"/>
        <v>8</v>
      </c>
      <c r="Q43" s="7">
        <f t="shared" si="3"/>
        <v>1</v>
      </c>
    </row>
    <row r="44" spans="1:17" ht="45">
      <c r="A44" s="8">
        <v>43</v>
      </c>
      <c r="B44" s="8" t="s">
        <v>181</v>
      </c>
      <c r="C44" s="8" t="s">
        <v>182</v>
      </c>
      <c r="D44" s="8" t="s">
        <v>59</v>
      </c>
      <c r="E44" s="8" t="s">
        <v>183</v>
      </c>
      <c r="F44" s="8" t="s">
        <v>88</v>
      </c>
      <c r="G44" s="17" t="s">
        <v>15</v>
      </c>
      <c r="H44" s="6">
        <v>1</v>
      </c>
      <c r="I44" s="6">
        <v>1</v>
      </c>
      <c r="J44" s="6">
        <v>1</v>
      </c>
      <c r="K44" s="6">
        <v>1</v>
      </c>
      <c r="L44" s="6">
        <v>1</v>
      </c>
      <c r="M44" s="6">
        <v>1</v>
      </c>
      <c r="N44" s="6">
        <v>0.5</v>
      </c>
      <c r="O44" s="6">
        <v>1</v>
      </c>
      <c r="P44" s="8">
        <f t="shared" si="2"/>
        <v>7.5</v>
      </c>
      <c r="Q44" s="9">
        <f t="shared" si="3"/>
        <v>0.9375</v>
      </c>
    </row>
    <row r="45" spans="1:17" ht="30">
      <c r="A45" s="6">
        <v>44</v>
      </c>
      <c r="B45" s="6" t="s">
        <v>184</v>
      </c>
      <c r="C45" s="6" t="s">
        <v>185</v>
      </c>
      <c r="D45" s="6" t="s">
        <v>59</v>
      </c>
      <c r="E45" s="6" t="s">
        <v>186</v>
      </c>
      <c r="F45" s="6" t="s">
        <v>88</v>
      </c>
      <c r="G45" s="6" t="s">
        <v>16</v>
      </c>
      <c r="H45" s="6">
        <v>1</v>
      </c>
      <c r="I45" s="6">
        <v>1</v>
      </c>
      <c r="J45" s="6">
        <v>1</v>
      </c>
      <c r="K45" s="6">
        <v>1</v>
      </c>
      <c r="L45" s="6">
        <v>0.5</v>
      </c>
      <c r="M45" s="6">
        <v>1</v>
      </c>
      <c r="N45" s="6">
        <v>1</v>
      </c>
      <c r="O45" s="6">
        <v>1</v>
      </c>
      <c r="P45" s="6">
        <f t="shared" si="2"/>
        <v>7.5</v>
      </c>
      <c r="Q45" s="7">
        <f t="shared" si="3"/>
        <v>0.9375</v>
      </c>
    </row>
    <row r="46" spans="1:17" ht="45">
      <c r="A46" s="8">
        <v>45</v>
      </c>
      <c r="B46" s="8" t="s">
        <v>187</v>
      </c>
      <c r="C46" s="8" t="s">
        <v>188</v>
      </c>
      <c r="D46" s="8" t="s">
        <v>59</v>
      </c>
      <c r="E46" s="8" t="s">
        <v>189</v>
      </c>
      <c r="F46" s="8" t="s">
        <v>88</v>
      </c>
      <c r="G46" s="17" t="s">
        <v>15</v>
      </c>
      <c r="H46" s="6">
        <v>1</v>
      </c>
      <c r="I46" s="6">
        <v>1</v>
      </c>
      <c r="J46" s="6">
        <v>1</v>
      </c>
      <c r="K46" s="6">
        <v>1</v>
      </c>
      <c r="L46" s="6">
        <v>0.5</v>
      </c>
      <c r="M46" s="6">
        <v>0.5</v>
      </c>
      <c r="N46" s="6">
        <v>0.5</v>
      </c>
      <c r="O46" s="6">
        <v>0.5</v>
      </c>
      <c r="P46" s="8">
        <f t="shared" si="2"/>
        <v>6</v>
      </c>
      <c r="Q46" s="9">
        <f t="shared" si="3"/>
        <v>0.75</v>
      </c>
    </row>
    <row r="47" spans="1:17" ht="45">
      <c r="A47" s="6">
        <v>46</v>
      </c>
      <c r="B47" s="6" t="s">
        <v>190</v>
      </c>
      <c r="C47" s="6" t="s">
        <v>191</v>
      </c>
      <c r="D47" s="6" t="s">
        <v>59</v>
      </c>
      <c r="E47" s="6" t="s">
        <v>192</v>
      </c>
      <c r="F47" s="6" t="s">
        <v>88</v>
      </c>
      <c r="G47" s="6" t="s">
        <v>15</v>
      </c>
      <c r="H47" s="6">
        <v>1</v>
      </c>
      <c r="I47" s="6">
        <v>1</v>
      </c>
      <c r="J47" s="6">
        <v>1</v>
      </c>
      <c r="K47" s="6">
        <v>1</v>
      </c>
      <c r="L47" s="6">
        <v>1</v>
      </c>
      <c r="M47" s="6">
        <v>1</v>
      </c>
      <c r="N47" s="6">
        <v>1</v>
      </c>
      <c r="O47" s="6">
        <v>1</v>
      </c>
      <c r="P47" s="6">
        <f t="shared" si="2"/>
        <v>8</v>
      </c>
      <c r="Q47" s="7">
        <f t="shared" si="3"/>
        <v>1</v>
      </c>
    </row>
    <row r="48" spans="1:17" ht="45">
      <c r="A48" s="8">
        <v>47</v>
      </c>
      <c r="B48" s="8" t="s">
        <v>193</v>
      </c>
      <c r="C48" s="8" t="s">
        <v>194</v>
      </c>
      <c r="D48" s="8" t="s">
        <v>59</v>
      </c>
      <c r="E48" s="8" t="s">
        <v>195</v>
      </c>
      <c r="F48" s="8" t="s">
        <v>88</v>
      </c>
      <c r="G48" s="17" t="s">
        <v>16</v>
      </c>
      <c r="H48" s="6">
        <v>1</v>
      </c>
      <c r="I48" s="6">
        <v>1</v>
      </c>
      <c r="J48" s="6">
        <v>1</v>
      </c>
      <c r="K48" s="6">
        <v>1</v>
      </c>
      <c r="L48" s="6">
        <v>1</v>
      </c>
      <c r="M48" s="6">
        <v>1</v>
      </c>
      <c r="N48" s="6">
        <v>1</v>
      </c>
      <c r="O48" s="6">
        <v>1</v>
      </c>
      <c r="P48" s="8">
        <f t="shared" si="2"/>
        <v>8</v>
      </c>
      <c r="Q48" s="9">
        <f t="shared" si="3"/>
        <v>1</v>
      </c>
    </row>
    <row r="49" spans="1:17" ht="30">
      <c r="A49" s="6">
        <v>48</v>
      </c>
      <c r="B49" s="6"/>
      <c r="C49" s="6" t="s">
        <v>196</v>
      </c>
      <c r="D49" s="6" t="s">
        <v>197</v>
      </c>
      <c r="E49" s="6"/>
      <c r="F49" s="6" t="s">
        <v>280</v>
      </c>
      <c r="G49" s="6" t="s">
        <v>17</v>
      </c>
      <c r="H49" s="6">
        <v>1</v>
      </c>
      <c r="I49" s="6">
        <v>1</v>
      </c>
      <c r="J49" s="6">
        <v>1</v>
      </c>
      <c r="K49" s="6">
        <v>1</v>
      </c>
      <c r="L49" s="6">
        <v>0.5</v>
      </c>
      <c r="M49" s="6">
        <v>1</v>
      </c>
      <c r="N49" s="6">
        <v>0.5</v>
      </c>
      <c r="O49" s="6">
        <v>0</v>
      </c>
      <c r="P49" s="6">
        <f t="shared" si="2"/>
        <v>6</v>
      </c>
      <c r="Q49" s="7">
        <f t="shared" si="3"/>
        <v>0.75</v>
      </c>
    </row>
    <row r="50" spans="1:17" ht="30">
      <c r="A50" s="8">
        <v>49</v>
      </c>
      <c r="B50" s="8"/>
      <c r="C50" s="8" t="s">
        <v>198</v>
      </c>
      <c r="D50" s="8" t="s">
        <v>197</v>
      </c>
      <c r="E50" s="8"/>
      <c r="F50" s="8" t="s">
        <v>280</v>
      </c>
      <c r="G50" s="17" t="s">
        <v>15</v>
      </c>
      <c r="H50" s="6">
        <v>1</v>
      </c>
      <c r="I50" s="6">
        <v>1</v>
      </c>
      <c r="J50" s="6">
        <v>1</v>
      </c>
      <c r="K50" s="6">
        <v>1</v>
      </c>
      <c r="L50" s="6">
        <v>1</v>
      </c>
      <c r="M50" s="6">
        <v>1</v>
      </c>
      <c r="N50" s="6">
        <v>1</v>
      </c>
      <c r="O50" s="6">
        <v>0</v>
      </c>
      <c r="P50" s="8">
        <f t="shared" si="2"/>
        <v>7</v>
      </c>
      <c r="Q50" s="9">
        <f t="shared" si="3"/>
        <v>0.875</v>
      </c>
    </row>
    <row r="51" spans="1:17" ht="30">
      <c r="A51" s="6">
        <v>50</v>
      </c>
      <c r="B51" s="6"/>
      <c r="C51" s="6" t="s">
        <v>199</v>
      </c>
      <c r="D51" s="6" t="s">
        <v>200</v>
      </c>
      <c r="E51" s="6"/>
      <c r="F51" s="6" t="s">
        <v>280</v>
      </c>
      <c r="G51" s="6" t="s">
        <v>17</v>
      </c>
      <c r="H51" s="6">
        <v>1</v>
      </c>
      <c r="I51" s="6">
        <v>0.5</v>
      </c>
      <c r="J51" s="6">
        <v>1</v>
      </c>
      <c r="K51" s="6">
        <v>0.5</v>
      </c>
      <c r="L51" s="6">
        <v>0.5</v>
      </c>
      <c r="M51" s="6">
        <v>1</v>
      </c>
      <c r="N51" s="6">
        <v>1</v>
      </c>
      <c r="O51" s="6">
        <v>0</v>
      </c>
      <c r="P51" s="6">
        <f t="shared" si="2"/>
        <v>5.5</v>
      </c>
      <c r="Q51" s="7">
        <f t="shared" si="3"/>
        <v>0.6875</v>
      </c>
    </row>
    <row r="52" spans="1:17" ht="15">
      <c r="A52" s="8">
        <v>51</v>
      </c>
      <c r="B52" s="8"/>
      <c r="C52" s="8" t="s">
        <v>201</v>
      </c>
      <c r="D52" s="8" t="s">
        <v>202</v>
      </c>
      <c r="E52" s="8"/>
      <c r="F52" s="8" t="s">
        <v>280</v>
      </c>
      <c r="G52" s="17" t="s">
        <v>17</v>
      </c>
      <c r="H52" s="6">
        <v>1</v>
      </c>
      <c r="I52" s="6">
        <v>1</v>
      </c>
      <c r="J52" s="6">
        <v>1</v>
      </c>
      <c r="K52" s="6">
        <v>1</v>
      </c>
      <c r="L52" s="6">
        <v>1</v>
      </c>
      <c r="M52" s="6">
        <v>1</v>
      </c>
      <c r="N52" s="6">
        <v>0.5</v>
      </c>
      <c r="O52" s="6">
        <v>0</v>
      </c>
      <c r="P52" s="8">
        <f t="shared" si="2"/>
        <v>6.5</v>
      </c>
      <c r="Q52" s="9">
        <f t="shared" si="3"/>
        <v>0.8125</v>
      </c>
    </row>
    <row r="53" spans="1:17" ht="30">
      <c r="A53" s="6">
        <v>52</v>
      </c>
      <c r="B53" s="6"/>
      <c r="C53" s="6" t="s">
        <v>203</v>
      </c>
      <c r="D53" s="6" t="s">
        <v>204</v>
      </c>
      <c r="E53" s="6" t="s">
        <v>205</v>
      </c>
      <c r="F53" s="6" t="s">
        <v>280</v>
      </c>
      <c r="G53" s="6" t="s">
        <v>17</v>
      </c>
      <c r="H53" s="6">
        <v>1</v>
      </c>
      <c r="I53" s="6">
        <v>1</v>
      </c>
      <c r="J53" s="6">
        <v>1</v>
      </c>
      <c r="K53" s="6">
        <v>1</v>
      </c>
      <c r="L53" s="6">
        <v>1</v>
      </c>
      <c r="M53" s="6">
        <v>1</v>
      </c>
      <c r="N53" s="6">
        <v>1</v>
      </c>
      <c r="O53" s="6">
        <v>0</v>
      </c>
      <c r="P53" s="6">
        <f t="shared" si="2"/>
        <v>7</v>
      </c>
      <c r="Q53" s="7">
        <f t="shared" si="3"/>
        <v>0.875</v>
      </c>
    </row>
    <row r="54" spans="1:17" ht="30">
      <c r="A54" s="8">
        <v>53</v>
      </c>
      <c r="B54" s="8"/>
      <c r="C54" s="8" t="s">
        <v>206</v>
      </c>
      <c r="D54" s="8" t="s">
        <v>197</v>
      </c>
      <c r="E54" s="8"/>
      <c r="F54" s="8" t="s">
        <v>280</v>
      </c>
      <c r="G54" s="17" t="s">
        <v>16</v>
      </c>
      <c r="H54" s="6">
        <v>1</v>
      </c>
      <c r="I54" s="6">
        <v>1</v>
      </c>
      <c r="J54" s="6">
        <v>1</v>
      </c>
      <c r="K54" s="6">
        <v>1</v>
      </c>
      <c r="L54" s="6">
        <v>1</v>
      </c>
      <c r="M54" s="6">
        <v>1</v>
      </c>
      <c r="N54" s="6">
        <v>0.5</v>
      </c>
      <c r="O54" s="6">
        <v>0.5</v>
      </c>
      <c r="P54" s="8">
        <f t="shared" si="2"/>
        <v>7</v>
      </c>
      <c r="Q54" s="9">
        <f t="shared" si="3"/>
        <v>0.875</v>
      </c>
    </row>
    <row r="55" spans="1:17" ht="45">
      <c r="A55" s="6">
        <v>54</v>
      </c>
      <c r="B55" s="6" t="s">
        <v>207</v>
      </c>
      <c r="C55" s="6" t="s">
        <v>208</v>
      </c>
      <c r="D55" s="6" t="s">
        <v>59</v>
      </c>
      <c r="E55" s="6" t="s">
        <v>209</v>
      </c>
      <c r="F55" s="6" t="s">
        <v>56</v>
      </c>
      <c r="G55" s="6" t="s">
        <v>15</v>
      </c>
      <c r="H55" s="6">
        <v>1</v>
      </c>
      <c r="I55" s="6">
        <v>1</v>
      </c>
      <c r="J55" s="6">
        <v>1</v>
      </c>
      <c r="K55" s="6">
        <v>1</v>
      </c>
      <c r="L55" s="6">
        <v>1</v>
      </c>
      <c r="M55" s="6">
        <v>1</v>
      </c>
      <c r="N55" s="6">
        <v>0.5</v>
      </c>
      <c r="O55" s="6">
        <v>0.5</v>
      </c>
      <c r="P55" s="6">
        <f t="shared" si="2"/>
        <v>7</v>
      </c>
      <c r="Q55" s="7">
        <f t="shared" si="3"/>
        <v>0.875</v>
      </c>
    </row>
    <row r="56" spans="1:17" ht="30">
      <c r="A56" s="8">
        <v>55</v>
      </c>
      <c r="B56" s="8" t="s">
        <v>210</v>
      </c>
      <c r="C56" s="8" t="s">
        <v>211</v>
      </c>
      <c r="D56" s="8" t="s">
        <v>59</v>
      </c>
      <c r="E56" s="8"/>
      <c r="F56" s="8" t="s">
        <v>56</v>
      </c>
      <c r="G56" s="17" t="s">
        <v>18</v>
      </c>
      <c r="H56" s="6">
        <v>0.5</v>
      </c>
      <c r="I56" s="6">
        <v>0.5</v>
      </c>
      <c r="J56" s="6">
        <v>0.5</v>
      </c>
      <c r="K56" s="6">
        <v>0</v>
      </c>
      <c r="L56" s="6">
        <v>0</v>
      </c>
      <c r="M56" s="6">
        <v>0.5</v>
      </c>
      <c r="N56" s="6">
        <v>0</v>
      </c>
      <c r="O56" s="6">
        <v>0</v>
      </c>
      <c r="P56" s="8">
        <f t="shared" si="2"/>
        <v>2</v>
      </c>
      <c r="Q56" s="9">
        <f t="shared" si="3"/>
        <v>0.25</v>
      </c>
    </row>
    <row r="57" spans="1:17" ht="45">
      <c r="A57" s="6">
        <v>56</v>
      </c>
      <c r="B57" s="6" t="s">
        <v>212</v>
      </c>
      <c r="C57" s="6" t="s">
        <v>213</v>
      </c>
      <c r="D57" s="6" t="s">
        <v>66</v>
      </c>
      <c r="E57" s="6"/>
      <c r="F57" s="6" t="s">
        <v>56</v>
      </c>
      <c r="G57" s="6" t="s">
        <v>17</v>
      </c>
      <c r="H57" s="6">
        <v>0.5</v>
      </c>
      <c r="I57" s="6">
        <v>0.5</v>
      </c>
      <c r="J57" s="6">
        <v>0.5</v>
      </c>
      <c r="K57" s="6">
        <v>0</v>
      </c>
      <c r="L57" s="6">
        <v>0</v>
      </c>
      <c r="M57" s="6">
        <v>0.5</v>
      </c>
      <c r="N57" s="6">
        <v>0</v>
      </c>
      <c r="O57" s="6">
        <v>0</v>
      </c>
      <c r="P57" s="6">
        <f t="shared" si="2"/>
        <v>2</v>
      </c>
      <c r="Q57" s="7">
        <f t="shared" si="3"/>
        <v>0.25</v>
      </c>
    </row>
    <row r="58" spans="1:17" ht="30">
      <c r="A58" s="8">
        <v>57</v>
      </c>
      <c r="B58" s="8" t="s">
        <v>214</v>
      </c>
      <c r="C58" s="8" t="s">
        <v>215</v>
      </c>
      <c r="D58" s="8" t="s">
        <v>66</v>
      </c>
      <c r="E58" s="8"/>
      <c r="F58" s="8" t="s">
        <v>56</v>
      </c>
      <c r="G58" s="17" t="s">
        <v>16</v>
      </c>
      <c r="H58" s="6">
        <v>1</v>
      </c>
      <c r="I58" s="6">
        <v>1</v>
      </c>
      <c r="J58" s="6">
        <v>1</v>
      </c>
      <c r="K58" s="6">
        <v>1</v>
      </c>
      <c r="L58" s="6">
        <v>0.5</v>
      </c>
      <c r="M58" s="6">
        <v>0.5</v>
      </c>
      <c r="N58" s="6">
        <v>0.5</v>
      </c>
      <c r="O58" s="6">
        <v>0.5</v>
      </c>
      <c r="P58" s="8">
        <f t="shared" si="2"/>
        <v>6</v>
      </c>
      <c r="Q58" s="9">
        <f t="shared" si="3"/>
        <v>0.75</v>
      </c>
    </row>
    <row r="59" spans="1:17" ht="30">
      <c r="A59" s="6">
        <v>58</v>
      </c>
      <c r="B59" s="6" t="s">
        <v>216</v>
      </c>
      <c r="C59" s="6" t="s">
        <v>217</v>
      </c>
      <c r="D59" s="6" t="s">
        <v>218</v>
      </c>
      <c r="E59" s="6"/>
      <c r="F59" s="6" t="s">
        <v>56</v>
      </c>
      <c r="G59" s="6" t="s">
        <v>15</v>
      </c>
      <c r="H59" s="6">
        <v>1</v>
      </c>
      <c r="I59" s="6">
        <v>1</v>
      </c>
      <c r="J59" s="6">
        <v>1</v>
      </c>
      <c r="K59" s="6">
        <v>1</v>
      </c>
      <c r="L59" s="6">
        <v>0.5</v>
      </c>
      <c r="M59" s="6">
        <v>1</v>
      </c>
      <c r="N59" s="6">
        <v>0.5</v>
      </c>
      <c r="O59" s="6">
        <v>1</v>
      </c>
      <c r="P59" s="6">
        <f t="shared" si="2"/>
        <v>7</v>
      </c>
      <c r="Q59" s="7">
        <f t="shared" si="3"/>
        <v>0.875</v>
      </c>
    </row>
    <row r="60" spans="1:17" ht="30">
      <c r="A60" s="8">
        <v>59</v>
      </c>
      <c r="B60" s="8" t="s">
        <v>219</v>
      </c>
      <c r="C60" s="8" t="s">
        <v>220</v>
      </c>
      <c r="D60" s="8" t="s">
        <v>221</v>
      </c>
      <c r="E60" s="8"/>
      <c r="F60" s="8" t="s">
        <v>56</v>
      </c>
      <c r="G60" s="17" t="s">
        <v>15</v>
      </c>
      <c r="H60" s="6">
        <v>1</v>
      </c>
      <c r="I60" s="6">
        <v>1</v>
      </c>
      <c r="J60" s="6">
        <v>1</v>
      </c>
      <c r="K60" s="6">
        <v>1</v>
      </c>
      <c r="L60" s="6">
        <v>1</v>
      </c>
      <c r="M60" s="6">
        <v>1</v>
      </c>
      <c r="N60" s="6">
        <v>0.5</v>
      </c>
      <c r="O60" s="6">
        <v>0.5</v>
      </c>
      <c r="P60" s="8">
        <f t="shared" si="2"/>
        <v>7</v>
      </c>
      <c r="Q60" s="9">
        <f t="shared" si="3"/>
        <v>0.875</v>
      </c>
    </row>
    <row r="61" spans="1:17" ht="30">
      <c r="A61" s="6">
        <v>60</v>
      </c>
      <c r="B61" s="6" t="s">
        <v>222</v>
      </c>
      <c r="C61" s="6" t="s">
        <v>223</v>
      </c>
      <c r="D61" s="6" t="s">
        <v>221</v>
      </c>
      <c r="E61" s="6"/>
      <c r="F61" s="6" t="s">
        <v>56</v>
      </c>
      <c r="G61" s="6" t="s">
        <v>15</v>
      </c>
      <c r="H61" s="6">
        <v>1</v>
      </c>
      <c r="I61" s="6">
        <v>1</v>
      </c>
      <c r="J61" s="6">
        <v>1</v>
      </c>
      <c r="K61" s="6">
        <v>1</v>
      </c>
      <c r="L61" s="6">
        <v>0.5</v>
      </c>
      <c r="M61" s="6">
        <v>1</v>
      </c>
      <c r="N61" s="6">
        <v>1</v>
      </c>
      <c r="O61" s="6">
        <v>0</v>
      </c>
      <c r="P61" s="6">
        <f t="shared" si="2"/>
        <v>6.5</v>
      </c>
      <c r="Q61" s="7">
        <f t="shared" si="3"/>
        <v>0.8125</v>
      </c>
    </row>
    <row r="62" spans="1:17" ht="60">
      <c r="A62" s="8">
        <v>61</v>
      </c>
      <c r="B62" s="8" t="s">
        <v>224</v>
      </c>
      <c r="C62" s="8" t="s">
        <v>225</v>
      </c>
      <c r="D62" s="8" t="s">
        <v>226</v>
      </c>
      <c r="E62" s="8"/>
      <c r="F62" s="8" t="s">
        <v>56</v>
      </c>
      <c r="G62" s="17" t="s">
        <v>16</v>
      </c>
      <c r="H62" s="6">
        <v>0.5</v>
      </c>
      <c r="I62" s="6">
        <v>0.5</v>
      </c>
      <c r="J62" s="6">
        <v>0.5</v>
      </c>
      <c r="K62" s="6">
        <v>0.5</v>
      </c>
      <c r="L62" s="6">
        <v>0</v>
      </c>
      <c r="M62" s="6">
        <v>0.5</v>
      </c>
      <c r="N62" s="6">
        <v>0</v>
      </c>
      <c r="O62" s="6">
        <v>0</v>
      </c>
      <c r="P62" s="8">
        <f t="shared" si="2"/>
        <v>2.5</v>
      </c>
      <c r="Q62" s="9">
        <f t="shared" si="3"/>
        <v>0.3125</v>
      </c>
    </row>
    <row r="63" spans="1:17" ht="30">
      <c r="A63" s="6">
        <v>62</v>
      </c>
      <c r="B63" s="6"/>
      <c r="C63" s="6" t="s">
        <v>227</v>
      </c>
      <c r="D63" s="6" t="s">
        <v>228</v>
      </c>
      <c r="E63" s="6" t="s">
        <v>186</v>
      </c>
      <c r="F63" s="6" t="s">
        <v>280</v>
      </c>
      <c r="G63" s="6" t="s">
        <v>18</v>
      </c>
      <c r="H63" s="6">
        <v>0.5</v>
      </c>
      <c r="I63" s="6">
        <v>0.5</v>
      </c>
      <c r="J63" s="6">
        <v>1</v>
      </c>
      <c r="K63" s="6">
        <v>0.5</v>
      </c>
      <c r="L63" s="6">
        <v>0</v>
      </c>
      <c r="M63" s="6">
        <v>1</v>
      </c>
      <c r="N63" s="6">
        <v>0.5</v>
      </c>
      <c r="O63" s="6">
        <v>0</v>
      </c>
      <c r="P63" s="6">
        <f t="shared" si="2"/>
        <v>4</v>
      </c>
      <c r="Q63" s="7">
        <f t="shared" si="3"/>
        <v>0.5</v>
      </c>
    </row>
    <row r="64" spans="1:17" ht="30">
      <c r="A64" s="8">
        <v>63</v>
      </c>
      <c r="B64" s="8"/>
      <c r="C64" s="8" t="s">
        <v>229</v>
      </c>
      <c r="D64" s="8" t="s">
        <v>197</v>
      </c>
      <c r="E64" s="8" t="s">
        <v>230</v>
      </c>
      <c r="F64" s="8" t="s">
        <v>280</v>
      </c>
      <c r="G64" s="17" t="s">
        <v>16</v>
      </c>
      <c r="H64" s="6">
        <v>1</v>
      </c>
      <c r="I64" s="6">
        <v>1</v>
      </c>
      <c r="J64" s="6">
        <v>1</v>
      </c>
      <c r="K64" s="6">
        <v>1</v>
      </c>
      <c r="L64" s="6">
        <v>1</v>
      </c>
      <c r="M64" s="6">
        <v>1</v>
      </c>
      <c r="N64" s="6">
        <v>1</v>
      </c>
      <c r="O64" s="6">
        <v>0.5</v>
      </c>
      <c r="P64" s="8">
        <f t="shared" si="2"/>
        <v>7.5</v>
      </c>
      <c r="Q64" s="9">
        <f t="shared" si="3"/>
        <v>0.9375</v>
      </c>
    </row>
    <row r="65" spans="1:17" ht="30">
      <c r="A65" s="6">
        <v>64</v>
      </c>
      <c r="B65" s="6"/>
      <c r="C65" s="6" t="s">
        <v>231</v>
      </c>
      <c r="D65" s="6" t="s">
        <v>204</v>
      </c>
      <c r="E65" s="6" t="s">
        <v>232</v>
      </c>
      <c r="F65" s="6" t="s">
        <v>280</v>
      </c>
      <c r="G65" s="6" t="s">
        <v>17</v>
      </c>
      <c r="H65" s="6">
        <v>0.5</v>
      </c>
      <c r="I65" s="6">
        <v>0.5</v>
      </c>
      <c r="J65" s="6">
        <v>0.5</v>
      </c>
      <c r="K65" s="6">
        <v>0</v>
      </c>
      <c r="L65" s="6">
        <v>0</v>
      </c>
      <c r="M65" s="6">
        <v>0.5</v>
      </c>
      <c r="N65" s="6">
        <v>0</v>
      </c>
      <c r="O65" s="6">
        <v>0</v>
      </c>
      <c r="P65" s="6">
        <f t="shared" si="2"/>
        <v>2</v>
      </c>
      <c r="Q65" s="7">
        <f t="shared" si="3"/>
        <v>0.25</v>
      </c>
    </row>
    <row r="66" spans="1:17" ht="15">
      <c r="A66" s="8">
        <v>65</v>
      </c>
      <c r="B66" s="8"/>
      <c r="C66" s="8" t="s">
        <v>233</v>
      </c>
      <c r="D66" s="8" t="s">
        <v>202</v>
      </c>
      <c r="E66" s="8"/>
      <c r="F66" s="8" t="s">
        <v>280</v>
      </c>
      <c r="G66" s="17" t="s">
        <v>18</v>
      </c>
      <c r="H66" s="6">
        <v>0.5</v>
      </c>
      <c r="I66" s="6">
        <v>0.5</v>
      </c>
      <c r="J66" s="6">
        <v>1</v>
      </c>
      <c r="K66" s="6">
        <v>0</v>
      </c>
      <c r="L66" s="6">
        <v>0</v>
      </c>
      <c r="M66" s="6">
        <v>1</v>
      </c>
      <c r="N66" s="6">
        <v>0.5</v>
      </c>
      <c r="O66" s="6">
        <v>0</v>
      </c>
      <c r="P66" s="8">
        <f t="shared" ref="P66:P79" si="4">SUM(H66:O66)</f>
        <v>3.5</v>
      </c>
      <c r="Q66" s="9">
        <f t="shared" ref="Q66:Q79" si="5">P66/8</f>
        <v>0.4375</v>
      </c>
    </row>
    <row r="67" spans="1:17" ht="30">
      <c r="A67" s="6">
        <v>66</v>
      </c>
      <c r="B67" s="6"/>
      <c r="C67" s="6" t="s">
        <v>234</v>
      </c>
      <c r="D67" s="6" t="s">
        <v>235</v>
      </c>
      <c r="E67" s="6"/>
      <c r="F67" s="6" t="s">
        <v>280</v>
      </c>
      <c r="G67" s="6" t="s">
        <v>17</v>
      </c>
      <c r="H67" s="6">
        <v>1</v>
      </c>
      <c r="I67" s="6">
        <v>1</v>
      </c>
      <c r="J67" s="6">
        <v>1</v>
      </c>
      <c r="K67" s="6">
        <v>1</v>
      </c>
      <c r="L67" s="6">
        <v>1</v>
      </c>
      <c r="M67" s="6">
        <v>1</v>
      </c>
      <c r="N67" s="6">
        <v>1</v>
      </c>
      <c r="O67" s="6">
        <v>0.5</v>
      </c>
      <c r="P67" s="6">
        <f t="shared" si="4"/>
        <v>7.5</v>
      </c>
      <c r="Q67" s="7">
        <f t="shared" si="5"/>
        <v>0.9375</v>
      </c>
    </row>
    <row r="68" spans="1:17" ht="45">
      <c r="A68" s="8">
        <v>67</v>
      </c>
      <c r="B68" s="8" t="s">
        <v>236</v>
      </c>
      <c r="C68" s="8" t="s">
        <v>237</v>
      </c>
      <c r="D68" s="8" t="s">
        <v>59</v>
      </c>
      <c r="E68" s="8"/>
      <c r="F68" s="8" t="s">
        <v>88</v>
      </c>
      <c r="G68" s="17" t="s">
        <v>16</v>
      </c>
      <c r="H68" s="6">
        <v>1</v>
      </c>
      <c r="I68" s="6">
        <v>1</v>
      </c>
      <c r="J68" s="6">
        <v>1</v>
      </c>
      <c r="K68" s="6">
        <v>1</v>
      </c>
      <c r="L68" s="6">
        <v>1</v>
      </c>
      <c r="M68" s="6">
        <v>1</v>
      </c>
      <c r="N68" s="6">
        <v>0.5</v>
      </c>
      <c r="O68" s="6">
        <v>1</v>
      </c>
      <c r="P68" s="8">
        <f t="shared" si="4"/>
        <v>7.5</v>
      </c>
      <c r="Q68" s="9">
        <f t="shared" si="5"/>
        <v>0.9375</v>
      </c>
    </row>
    <row r="69" spans="1:17" ht="30">
      <c r="A69" s="6">
        <v>68</v>
      </c>
      <c r="B69" s="6" t="s">
        <v>238</v>
      </c>
      <c r="C69" s="6" t="s">
        <v>239</v>
      </c>
      <c r="D69" s="6" t="s">
        <v>59</v>
      </c>
      <c r="E69" s="6"/>
      <c r="F69" s="6" t="s">
        <v>88</v>
      </c>
      <c r="G69" s="6" t="s">
        <v>16</v>
      </c>
      <c r="H69" s="6">
        <v>1</v>
      </c>
      <c r="I69" s="6">
        <v>1</v>
      </c>
      <c r="J69" s="6">
        <v>1</v>
      </c>
      <c r="K69" s="6">
        <v>1</v>
      </c>
      <c r="L69" s="6">
        <v>0.5</v>
      </c>
      <c r="M69" s="6">
        <v>1</v>
      </c>
      <c r="N69" s="6">
        <v>0.5</v>
      </c>
      <c r="O69" s="6">
        <v>0</v>
      </c>
      <c r="P69" s="6">
        <f t="shared" si="4"/>
        <v>6</v>
      </c>
      <c r="Q69" s="7">
        <f t="shared" si="5"/>
        <v>0.75</v>
      </c>
    </row>
    <row r="70" spans="1:17" ht="30">
      <c r="A70" s="8">
        <v>69</v>
      </c>
      <c r="B70" s="8" t="s">
        <v>240</v>
      </c>
      <c r="C70" s="8" t="s">
        <v>241</v>
      </c>
      <c r="D70" s="8" t="s">
        <v>59</v>
      </c>
      <c r="E70" s="8"/>
      <c r="F70" s="8" t="s">
        <v>88</v>
      </c>
      <c r="G70" s="17" t="s">
        <v>16</v>
      </c>
      <c r="H70" s="6">
        <v>1</v>
      </c>
      <c r="I70" s="6">
        <v>1</v>
      </c>
      <c r="J70" s="6">
        <v>1</v>
      </c>
      <c r="K70" s="6">
        <v>1</v>
      </c>
      <c r="L70" s="6">
        <v>1</v>
      </c>
      <c r="M70" s="6">
        <v>1</v>
      </c>
      <c r="N70" s="6">
        <v>0.5</v>
      </c>
      <c r="O70" s="6">
        <v>1</v>
      </c>
      <c r="P70" s="8">
        <f t="shared" si="4"/>
        <v>7.5</v>
      </c>
      <c r="Q70" s="9">
        <f t="shared" si="5"/>
        <v>0.9375</v>
      </c>
    </row>
    <row r="71" spans="1:17" ht="30">
      <c r="A71" s="6">
        <v>70</v>
      </c>
      <c r="B71" s="6" t="s">
        <v>242</v>
      </c>
      <c r="C71" s="6" t="s">
        <v>243</v>
      </c>
      <c r="D71" s="6" t="s">
        <v>59</v>
      </c>
      <c r="E71" s="6"/>
      <c r="F71" s="6" t="s">
        <v>88</v>
      </c>
      <c r="G71" s="6" t="s">
        <v>16</v>
      </c>
      <c r="H71" s="6">
        <v>1</v>
      </c>
      <c r="I71" s="6">
        <v>1</v>
      </c>
      <c r="J71" s="6">
        <v>1</v>
      </c>
      <c r="K71" s="6">
        <v>1</v>
      </c>
      <c r="L71" s="6">
        <v>1</v>
      </c>
      <c r="M71" s="6">
        <v>1</v>
      </c>
      <c r="N71" s="6">
        <v>0.5</v>
      </c>
      <c r="O71" s="6">
        <v>0.5</v>
      </c>
      <c r="P71" s="6">
        <f t="shared" si="4"/>
        <v>7</v>
      </c>
      <c r="Q71" s="7">
        <f t="shared" si="5"/>
        <v>0.875</v>
      </c>
    </row>
    <row r="72" spans="1:17" ht="30">
      <c r="A72" s="8">
        <v>71</v>
      </c>
      <c r="B72" s="8" t="s">
        <v>244</v>
      </c>
      <c r="C72" s="8" t="s">
        <v>245</v>
      </c>
      <c r="D72" s="8" t="s">
        <v>59</v>
      </c>
      <c r="E72" s="8"/>
      <c r="F72" s="8" t="s">
        <v>88</v>
      </c>
      <c r="G72" s="17" t="s">
        <v>16</v>
      </c>
      <c r="H72" s="6">
        <v>1</v>
      </c>
      <c r="I72" s="6">
        <v>1</v>
      </c>
      <c r="J72" s="6">
        <v>1</v>
      </c>
      <c r="K72" s="6">
        <v>1</v>
      </c>
      <c r="L72" s="6">
        <v>1</v>
      </c>
      <c r="M72" s="6">
        <v>1</v>
      </c>
      <c r="N72" s="6">
        <v>1</v>
      </c>
      <c r="O72" s="6">
        <v>1</v>
      </c>
      <c r="P72" s="8">
        <f t="shared" si="4"/>
        <v>8</v>
      </c>
      <c r="Q72" s="9">
        <f t="shared" si="5"/>
        <v>1</v>
      </c>
    </row>
    <row r="73" spans="1:17" ht="45">
      <c r="A73" s="6">
        <v>72</v>
      </c>
      <c r="B73" s="6" t="s">
        <v>246</v>
      </c>
      <c r="C73" s="6" t="s">
        <v>247</v>
      </c>
      <c r="D73" s="6" t="s">
        <v>59</v>
      </c>
      <c r="E73" s="6"/>
      <c r="F73" s="6" t="s">
        <v>88</v>
      </c>
      <c r="G73" s="6" t="s">
        <v>16</v>
      </c>
      <c r="H73" s="6">
        <v>1</v>
      </c>
      <c r="I73" s="6">
        <v>1</v>
      </c>
      <c r="J73" s="6">
        <v>1</v>
      </c>
      <c r="K73" s="6">
        <v>1</v>
      </c>
      <c r="L73" s="6">
        <v>1</v>
      </c>
      <c r="M73" s="6">
        <v>1</v>
      </c>
      <c r="N73" s="6">
        <v>1</v>
      </c>
      <c r="O73" s="6">
        <v>0.5</v>
      </c>
      <c r="P73" s="6">
        <f t="shared" si="4"/>
        <v>7.5</v>
      </c>
      <c r="Q73" s="7">
        <f t="shared" si="5"/>
        <v>0.9375</v>
      </c>
    </row>
    <row r="74" spans="1:17" ht="30">
      <c r="A74" s="8">
        <v>73</v>
      </c>
      <c r="B74" s="8" t="s">
        <v>248</v>
      </c>
      <c r="C74" s="8" t="s">
        <v>249</v>
      </c>
      <c r="D74" s="8" t="s">
        <v>59</v>
      </c>
      <c r="E74" s="8"/>
      <c r="F74" s="8" t="s">
        <v>88</v>
      </c>
      <c r="G74" s="17" t="s">
        <v>16</v>
      </c>
      <c r="H74" s="6">
        <v>1</v>
      </c>
      <c r="I74" s="6">
        <v>1</v>
      </c>
      <c r="J74" s="6">
        <v>1</v>
      </c>
      <c r="K74" s="6">
        <v>1</v>
      </c>
      <c r="L74" s="6">
        <v>0.5</v>
      </c>
      <c r="M74" s="6">
        <v>1</v>
      </c>
      <c r="N74" s="6">
        <v>0.5</v>
      </c>
      <c r="O74" s="6">
        <v>1</v>
      </c>
      <c r="P74" s="8">
        <f t="shared" si="4"/>
        <v>7</v>
      </c>
      <c r="Q74" s="9">
        <f t="shared" si="5"/>
        <v>0.875</v>
      </c>
    </row>
    <row r="75" spans="1:17" ht="30">
      <c r="A75" s="6">
        <v>74</v>
      </c>
      <c r="B75" s="6" t="s">
        <v>250</v>
      </c>
      <c r="C75" s="6" t="s">
        <v>251</v>
      </c>
      <c r="D75" s="6" t="s">
        <v>59</v>
      </c>
      <c r="E75" s="6"/>
      <c r="F75" s="6" t="s">
        <v>88</v>
      </c>
      <c r="G75" s="6" t="s">
        <v>16</v>
      </c>
      <c r="H75" s="6">
        <v>1</v>
      </c>
      <c r="I75" s="6">
        <v>1</v>
      </c>
      <c r="J75" s="6">
        <v>1</v>
      </c>
      <c r="K75" s="6">
        <v>1</v>
      </c>
      <c r="L75" s="6">
        <v>0.5</v>
      </c>
      <c r="M75" s="6">
        <v>0.5</v>
      </c>
      <c r="N75" s="6">
        <v>0.5</v>
      </c>
      <c r="O75" s="6">
        <v>1</v>
      </c>
      <c r="P75" s="6">
        <f t="shared" si="4"/>
        <v>6.5</v>
      </c>
      <c r="Q75" s="7">
        <f t="shared" si="5"/>
        <v>0.8125</v>
      </c>
    </row>
    <row r="76" spans="1:17" ht="30">
      <c r="A76" s="8">
        <v>75</v>
      </c>
      <c r="B76" s="8" t="s">
        <v>252</v>
      </c>
      <c r="C76" s="8" t="s">
        <v>253</v>
      </c>
      <c r="D76" s="8" t="s">
        <v>59</v>
      </c>
      <c r="E76" s="8"/>
      <c r="F76" s="8" t="s">
        <v>88</v>
      </c>
      <c r="G76" s="17" t="s">
        <v>16</v>
      </c>
      <c r="H76" s="6">
        <v>1</v>
      </c>
      <c r="I76" s="6">
        <v>1</v>
      </c>
      <c r="J76" s="6">
        <v>1</v>
      </c>
      <c r="K76" s="6">
        <v>1</v>
      </c>
      <c r="L76" s="6">
        <v>1</v>
      </c>
      <c r="M76" s="6">
        <v>1</v>
      </c>
      <c r="N76" s="6">
        <v>1</v>
      </c>
      <c r="O76" s="6">
        <v>0.5</v>
      </c>
      <c r="P76" s="8">
        <f t="shared" si="4"/>
        <v>7.5</v>
      </c>
      <c r="Q76" s="9">
        <f t="shared" si="5"/>
        <v>0.9375</v>
      </c>
    </row>
    <row r="77" spans="1:17" ht="30">
      <c r="A77" s="6">
        <v>76</v>
      </c>
      <c r="B77" s="6" t="s">
        <v>254</v>
      </c>
      <c r="C77" s="6" t="s">
        <v>255</v>
      </c>
      <c r="D77" s="6" t="s">
        <v>91</v>
      </c>
      <c r="E77" s="6"/>
      <c r="F77" s="6" t="s">
        <v>88</v>
      </c>
      <c r="G77" s="6" t="s">
        <v>16</v>
      </c>
      <c r="H77" s="6">
        <v>1</v>
      </c>
      <c r="I77" s="6">
        <v>1</v>
      </c>
      <c r="J77" s="6">
        <v>1</v>
      </c>
      <c r="K77" s="6">
        <v>1</v>
      </c>
      <c r="L77" s="6">
        <v>1</v>
      </c>
      <c r="M77" s="6">
        <v>1</v>
      </c>
      <c r="N77" s="6">
        <v>1</v>
      </c>
      <c r="O77" s="6">
        <v>0.5</v>
      </c>
      <c r="P77" s="6">
        <f t="shared" si="4"/>
        <v>7.5</v>
      </c>
      <c r="Q77" s="7">
        <f t="shared" si="5"/>
        <v>0.9375</v>
      </c>
    </row>
    <row r="78" spans="1:17" ht="30">
      <c r="A78" s="8">
        <v>77</v>
      </c>
      <c r="B78" s="8" t="s">
        <v>256</v>
      </c>
      <c r="C78" s="8" t="s">
        <v>257</v>
      </c>
      <c r="D78" s="8" t="s">
        <v>91</v>
      </c>
      <c r="E78" s="8"/>
      <c r="F78" s="8" t="s">
        <v>88</v>
      </c>
      <c r="G78" s="17" t="s">
        <v>15</v>
      </c>
      <c r="H78" s="6">
        <v>1</v>
      </c>
      <c r="I78" s="6">
        <v>1</v>
      </c>
      <c r="J78" s="6">
        <v>1</v>
      </c>
      <c r="K78" s="6">
        <v>1</v>
      </c>
      <c r="L78" s="6">
        <v>0.5</v>
      </c>
      <c r="M78" s="6">
        <v>1</v>
      </c>
      <c r="N78" s="6">
        <v>0.5</v>
      </c>
      <c r="O78" s="6">
        <v>0.5</v>
      </c>
      <c r="P78" s="8">
        <f t="shared" si="4"/>
        <v>6.5</v>
      </c>
      <c r="Q78" s="9">
        <f t="shared" si="5"/>
        <v>0.8125</v>
      </c>
    </row>
    <row r="79" spans="1:17" ht="45">
      <c r="A79" s="6">
        <v>78</v>
      </c>
      <c r="B79" s="6"/>
      <c r="C79" s="6" t="s">
        <v>258</v>
      </c>
      <c r="D79" s="6" t="s">
        <v>197</v>
      </c>
      <c r="E79" s="6" t="s">
        <v>232</v>
      </c>
      <c r="F79" s="6"/>
      <c r="G79" s="6" t="s">
        <v>18</v>
      </c>
      <c r="H79" s="6">
        <v>0.5</v>
      </c>
      <c r="I79" s="6">
        <v>0.5</v>
      </c>
      <c r="J79" s="6">
        <v>0.5</v>
      </c>
      <c r="K79" s="6">
        <v>0</v>
      </c>
      <c r="L79" s="6">
        <v>0</v>
      </c>
      <c r="M79" s="6">
        <v>1</v>
      </c>
      <c r="N79" s="6">
        <v>0</v>
      </c>
      <c r="O79" s="6">
        <v>0</v>
      </c>
      <c r="P79" s="6">
        <f t="shared" si="4"/>
        <v>2.5</v>
      </c>
      <c r="Q79" s="7">
        <f t="shared" si="5"/>
        <v>0.3125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6"/>
  <sheetViews>
    <sheetView tabSelected="1" topLeftCell="A4" workbookViewId="0">
      <selection activeCell="I19" sqref="I19"/>
    </sheetView>
  </sheetViews>
  <sheetFormatPr baseColWidth="10" defaultColWidth="8.83203125" defaultRowHeight="14"/>
  <cols>
    <col min="1" max="1" width="12" customWidth="1"/>
    <col min="2" max="2" width="18" customWidth="1"/>
    <col min="3" max="3" width="30" customWidth="1"/>
    <col min="4" max="4" width="60" customWidth="1"/>
    <col min="5" max="5" width="48" customWidth="1"/>
  </cols>
  <sheetData>
    <row r="1" spans="1:5" ht="37.25" customHeight="1">
      <c r="A1" s="13" t="s">
        <v>269</v>
      </c>
      <c r="B1" s="13"/>
      <c r="C1" s="13"/>
      <c r="D1" s="13"/>
      <c r="E1" s="13"/>
    </row>
    <row r="3" spans="1:5">
      <c r="A3" s="14" t="s">
        <v>282</v>
      </c>
      <c r="B3" s="14"/>
      <c r="C3" s="14"/>
      <c r="D3" s="14"/>
      <c r="E3" s="14"/>
    </row>
    <row r="4" spans="1:5">
      <c r="A4" s="14"/>
      <c r="B4" s="14"/>
      <c r="C4" s="14"/>
      <c r="D4" s="14"/>
      <c r="E4" s="14"/>
    </row>
    <row r="5" spans="1:5">
      <c r="A5" s="14"/>
      <c r="B5" s="14"/>
      <c r="C5" s="14"/>
      <c r="D5" s="14"/>
      <c r="E5" s="14"/>
    </row>
    <row r="6" spans="1:5">
      <c r="A6" s="14"/>
      <c r="B6" s="14"/>
      <c r="C6" s="14"/>
      <c r="D6" s="14"/>
      <c r="E6" s="14"/>
    </row>
    <row r="8" spans="1:5" ht="16">
      <c r="A8" s="10" t="s">
        <v>38</v>
      </c>
      <c r="B8" s="10" t="s">
        <v>259</v>
      </c>
      <c r="C8" s="10" t="s">
        <v>1</v>
      </c>
      <c r="D8" s="10" t="s">
        <v>19</v>
      </c>
      <c r="E8" s="10" t="s">
        <v>270</v>
      </c>
    </row>
    <row r="9" spans="1:5" ht="30">
      <c r="A9" s="6" t="s">
        <v>21</v>
      </c>
      <c r="B9" s="6" t="s">
        <v>260</v>
      </c>
      <c r="C9" s="6" t="s">
        <v>20</v>
      </c>
      <c r="D9" s="6" t="s">
        <v>22</v>
      </c>
      <c r="E9" s="6" t="s">
        <v>271</v>
      </c>
    </row>
    <row r="10" spans="1:5" ht="30">
      <c r="A10" s="6" t="s">
        <v>26</v>
      </c>
      <c r="B10" s="6" t="s">
        <v>260</v>
      </c>
      <c r="C10" s="6" t="s">
        <v>261</v>
      </c>
      <c r="D10" s="6" t="s">
        <v>27</v>
      </c>
      <c r="E10" s="6" t="s">
        <v>271</v>
      </c>
    </row>
    <row r="11" spans="1:5" ht="30">
      <c r="A11" s="6" t="s">
        <v>30</v>
      </c>
      <c r="B11" s="6" t="s">
        <v>262</v>
      </c>
      <c r="C11" s="6" t="s">
        <v>263</v>
      </c>
      <c r="D11" s="6" t="s">
        <v>31</v>
      </c>
      <c r="E11" s="6" t="s">
        <v>271</v>
      </c>
    </row>
    <row r="12" spans="1:5" ht="30">
      <c r="A12" s="6" t="s">
        <v>32</v>
      </c>
      <c r="B12" s="6" t="s">
        <v>262</v>
      </c>
      <c r="C12" s="6" t="s">
        <v>264</v>
      </c>
      <c r="D12" s="6" t="s">
        <v>33</v>
      </c>
      <c r="E12" s="6" t="s">
        <v>271</v>
      </c>
    </row>
    <row r="13" spans="1:5" ht="30">
      <c r="A13" s="6" t="s">
        <v>34</v>
      </c>
      <c r="B13" s="6" t="s">
        <v>262</v>
      </c>
      <c r="C13" s="6" t="s">
        <v>265</v>
      </c>
      <c r="D13" s="6" t="s">
        <v>35</v>
      </c>
      <c r="E13" s="6" t="s">
        <v>271</v>
      </c>
    </row>
    <row r="14" spans="1:5" ht="30">
      <c r="A14" s="6" t="s">
        <v>36</v>
      </c>
      <c r="B14" s="6" t="s">
        <v>266</v>
      </c>
      <c r="C14" s="6" t="s">
        <v>267</v>
      </c>
      <c r="D14" s="6" t="s">
        <v>37</v>
      </c>
      <c r="E14" s="6" t="s">
        <v>271</v>
      </c>
    </row>
    <row r="15" spans="1:5" ht="30">
      <c r="A15" s="6" t="s">
        <v>24</v>
      </c>
      <c r="B15" s="6" t="s">
        <v>266</v>
      </c>
      <c r="C15" s="6" t="s">
        <v>23</v>
      </c>
      <c r="D15" s="6" t="s">
        <v>25</v>
      </c>
      <c r="E15" s="6" t="s">
        <v>271</v>
      </c>
    </row>
    <row r="16" spans="1:5" ht="30">
      <c r="A16" s="6" t="s">
        <v>28</v>
      </c>
      <c r="B16" s="6" t="s">
        <v>266</v>
      </c>
      <c r="C16" s="6" t="s">
        <v>268</v>
      </c>
      <c r="D16" s="6" t="s">
        <v>29</v>
      </c>
      <c r="E16" s="6" t="s">
        <v>271</v>
      </c>
    </row>
    <row r="18" spans="1:5">
      <c r="A18" s="15" t="s">
        <v>272</v>
      </c>
      <c r="B18" s="15"/>
      <c r="C18" s="15"/>
      <c r="D18" s="15"/>
      <c r="E18" s="15"/>
    </row>
    <row r="19" spans="1:5">
      <c r="A19" s="15"/>
      <c r="B19" s="15"/>
      <c r="C19" s="15"/>
      <c r="D19" s="15"/>
      <c r="E19" s="15"/>
    </row>
    <row r="20" spans="1:5">
      <c r="A20" s="15"/>
      <c r="B20" s="15"/>
      <c r="C20" s="15"/>
      <c r="D20" s="15"/>
      <c r="E20" s="15"/>
    </row>
    <row r="21" spans="1:5">
      <c r="A21" s="15"/>
      <c r="B21" s="15"/>
      <c r="C21" s="15"/>
      <c r="D21" s="15"/>
      <c r="E21" s="15"/>
    </row>
    <row r="23" spans="1:5" ht="48">
      <c r="A23" s="1" t="s">
        <v>273</v>
      </c>
      <c r="B23" s="1" t="s">
        <v>274</v>
      </c>
    </row>
    <row r="24" spans="1:5" ht="45">
      <c r="A24" s="3" t="s">
        <v>275</v>
      </c>
      <c r="B24" s="3" t="s">
        <v>276</v>
      </c>
    </row>
    <row r="25" spans="1:5" ht="90">
      <c r="A25" s="3" t="s">
        <v>51</v>
      </c>
      <c r="B25" s="3" t="s">
        <v>277</v>
      </c>
    </row>
    <row r="26" spans="1:5" ht="90">
      <c r="A26" s="3" t="s">
        <v>278</v>
      </c>
      <c r="B26" s="3" t="s">
        <v>279</v>
      </c>
    </row>
  </sheetData>
  <mergeCells count="3">
    <mergeCell ref="A1:E1"/>
    <mergeCell ref="A3:E6"/>
    <mergeCell ref="A18: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Scores</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Reil, Jens (UT-BMS)</cp:lastModifiedBy>
  <dcterms:created xsi:type="dcterms:W3CDTF">2026-09-30T13:33:30Z</dcterms:created>
  <dcterms:modified xsi:type="dcterms:W3CDTF">2026-10-01T12:52:28Z</dcterms:modified>
</cp:coreProperties>
</file>